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hclo365-my.sharepoint.com/personal/kuldeepashok_hcltech_com/Documents/Hybrid Cloud/GSK/Large Deal - Tech services/Tech Services RFP - Infrastructure Management/"/>
    </mc:Choice>
  </mc:AlternateContent>
  <xr:revisionPtr revIDLastSave="8" documentId="13_ncr:1_{C7C6D7EF-1A47-314E-9D85-E402CCF601B6}" xr6:coauthVersionLast="47" xr6:coauthVersionMax="47" xr10:uidLastSave="{B67637D6-D187-48E9-A971-4D7CE328ECD6}"/>
  <bookViews>
    <workbookView xWindow="-110" yWindow="-110" windowWidth="19420" windowHeight="11500" xr2:uid="{00000000-000D-0000-FFFF-FFFF00000000}"/>
  </bookViews>
  <sheets>
    <sheet name="Skills" sheetId="1" r:id="rId1"/>
    <sheet name="Usecases+Agents+Skills" sheetId="6" r:id="rId2"/>
    <sheet name="Opportunity_70pct" sheetId="2" r:id="rId3"/>
    <sheet name="Waves_Sprints" sheetId="3" r:id="rId4"/>
    <sheet name="Tower_Plan" sheetId="4" r:id="rId5"/>
    <sheet name="Token_TCO_Model" sheetId="5" r:id="rId6"/>
  </sheets>
  <definedNames>
    <definedName name="_xlnm._FilterDatabase" localSheetId="0" hidden="1">Skills!$A$1:$F$153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5" l="1"/>
  <c r="G30" i="5"/>
  <c r="G29" i="5"/>
  <c r="G28" i="5"/>
  <c r="G27" i="5"/>
  <c r="G26" i="5"/>
  <c r="G25" i="5"/>
  <c r="G24" i="5"/>
  <c r="C20" i="5"/>
  <c r="F13" i="4"/>
  <c r="D13" i="4"/>
  <c r="C13" i="4"/>
  <c r="B13" i="4"/>
  <c r="B4" i="2"/>
  <c r="E32" i="5" l="1"/>
  <c r="G32" i="5" s="1"/>
  <c r="G33" i="5" s="1"/>
  <c r="B10" i="5" s="1"/>
  <c r="B6" i="2"/>
  <c r="B7" i="2" s="1"/>
  <c r="E38" i="5" l="1"/>
  <c r="E39" i="5"/>
  <c r="E40" i="5"/>
  <c r="F2" i="3"/>
  <c r="F5" i="3"/>
  <c r="F3" i="3"/>
  <c r="F4" i="3"/>
  <c r="F6" i="3"/>
  <c r="F10" i="3"/>
  <c r="B8" i="2"/>
  <c r="F7" i="3"/>
  <c r="F8" i="3"/>
  <c r="F9" i="3"/>
  <c r="F11" i="3"/>
  <c r="F12" i="3"/>
  <c r="G2" i="4"/>
  <c r="G3" i="4"/>
  <c r="G4" i="4"/>
  <c r="G5" i="4"/>
  <c r="G6" i="4"/>
  <c r="G7" i="4"/>
  <c r="G8" i="4"/>
  <c r="G9" i="4"/>
  <c r="G10" i="4"/>
  <c r="G11" i="4"/>
  <c r="G12" i="4"/>
  <c r="B5" i="5"/>
  <c r="G13" i="4" l="1"/>
  <c r="G4" i="3"/>
  <c r="G7" i="3"/>
  <c r="G9" i="3"/>
  <c r="G3" i="3"/>
  <c r="G5" i="3"/>
  <c r="G6" i="3"/>
  <c r="G8" i="3"/>
  <c r="G10" i="3"/>
  <c r="G11" i="3"/>
  <c r="G12" i="3"/>
  <c r="F13" i="3" s="1"/>
  <c r="G13" i="3" s="1"/>
  <c r="G2" i="3"/>
  <c r="D16" i="5"/>
  <c r="D17" i="5"/>
  <c r="D18" i="5"/>
  <c r="D19" i="5"/>
  <c r="I16" i="5" l="1"/>
  <c r="J16" i="5"/>
  <c r="K16" i="5"/>
  <c r="D20" i="5"/>
  <c r="I17" i="5"/>
  <c r="J17" i="5"/>
  <c r="K17" i="5"/>
  <c r="I18" i="5"/>
  <c r="J18" i="5"/>
  <c r="K18" i="5"/>
  <c r="I19" i="5"/>
  <c r="J19" i="5"/>
  <c r="K19" i="5"/>
  <c r="P19" i="5" l="1"/>
  <c r="P16" i="5"/>
  <c r="I20" i="5"/>
  <c r="B6" i="5"/>
  <c r="J20" i="5"/>
  <c r="B7" i="5"/>
  <c r="K20" i="5"/>
  <c r="B8" i="5"/>
  <c r="P17" i="5"/>
  <c r="P18" i="5"/>
  <c r="P20" i="5" l="1"/>
  <c r="B9" i="5" s="1"/>
  <c r="B11" i="5" l="1"/>
  <c r="B12" i="5" s="1"/>
  <c r="D40" i="5"/>
  <c r="F40" i="5" s="1"/>
  <c r="G40" i="5" s="1"/>
  <c r="D39" i="5"/>
  <c r="F39" i="5" s="1"/>
  <c r="G39" i="5" s="1"/>
  <c r="D38" i="5"/>
  <c r="F38" i="5" s="1"/>
  <c r="G38" i="5" s="1"/>
</calcChain>
</file>

<file path=xl/sharedStrings.xml><?xml version="1.0" encoding="utf-8"?>
<sst xmlns="http://schemas.openxmlformats.org/spreadsheetml/2006/main" count="2859" uniqueCount="1350">
  <si>
    <t>ID</t>
  </si>
  <si>
    <t>Tower</t>
  </si>
  <si>
    <t>Status</t>
  </si>
  <si>
    <t>EAI-045</t>
  </si>
  <si>
    <t>Cross-tower Ops</t>
  </si>
  <si>
    <t>SDLC Backlog Creation Skill</t>
  </si>
  <si>
    <t>Reuse</t>
  </si>
  <si>
    <t>EAI-052</t>
  </si>
  <si>
    <t>AIOps</t>
  </si>
  <si>
    <t>Pipeline Monitoring Triage Skill</t>
  </si>
  <si>
    <t>EAI-053</t>
  </si>
  <si>
    <t>Change &amp; Release</t>
  </si>
  <si>
    <t>Release Note Generation Skill</t>
  </si>
  <si>
    <t>EAI-054</t>
  </si>
  <si>
    <t>Incident Governance Skill</t>
  </si>
  <si>
    <t>EAI-056</t>
  </si>
  <si>
    <t>FinOps</t>
  </si>
  <si>
    <t>Tagging Policy Monitoring Skill</t>
  </si>
  <si>
    <t>EAI-057</t>
  </si>
  <si>
    <t>Cluster Cost Optimization Skill</t>
  </si>
  <si>
    <t>EAI-058</t>
  </si>
  <si>
    <t>FinOps Spike Monitoring Skill</t>
  </si>
  <si>
    <t>EAI-073</t>
  </si>
  <si>
    <t>Code Orange / AgentOps</t>
  </si>
  <si>
    <t>Production Readiness Validation Skill</t>
  </si>
  <si>
    <t>EAI-074</t>
  </si>
  <si>
    <t>Service Desk</t>
  </si>
  <si>
    <t>Incident Knowledge Base Creation Skill</t>
  </si>
  <si>
    <t>EAI-075</t>
  </si>
  <si>
    <t>Incident Knowledge Base Augmentation Skill</t>
  </si>
  <si>
    <t>EAI-076</t>
  </si>
  <si>
    <t>Requirements Synthesis Skill</t>
  </si>
  <si>
    <t>EAI-077</t>
  </si>
  <si>
    <t>URS Validation Skill</t>
  </si>
  <si>
    <t>EAI-094</t>
  </si>
  <si>
    <t>Backlog Grooming Skill</t>
  </si>
  <si>
    <t>EAI-095</t>
  </si>
  <si>
    <t>Tool and Skill Evaluation Skill</t>
  </si>
  <si>
    <t>EAI-198</t>
  </si>
  <si>
    <t>Ops Delivery Executive Insights Skill</t>
  </si>
  <si>
    <t>EAI-204</t>
  </si>
  <si>
    <t>Ops Backlog Prioritization Skill</t>
  </si>
  <si>
    <t>PLAN-SK-001</t>
  </si>
  <si>
    <t>CloudOps</t>
  </si>
  <si>
    <t>Azure VM Unavailability Runbook Execution Skill</t>
  </si>
  <si>
    <t>Net New</t>
  </si>
  <si>
    <t>PLAN-SK-002</t>
  </si>
  <si>
    <t>Linux Service Restart Runbook Execution Skill</t>
  </si>
  <si>
    <t>PLAN-SK-003</t>
  </si>
  <si>
    <t>Linux Hardware Replacement Runbook Execution Skill</t>
  </si>
  <si>
    <t>PLAN-SK-004</t>
  </si>
  <si>
    <t>Windows Service Restart Runbook Execution Skill</t>
  </si>
  <si>
    <t>PLAN-SK-005</t>
  </si>
  <si>
    <t>VMware HCI Add Hard Disk Runbook Execution Skill</t>
  </si>
  <si>
    <t>PLAN-SK-006</t>
  </si>
  <si>
    <t>Linux OS Installation Post Checks Runbook Execution Skill</t>
  </si>
  <si>
    <t>PLAN-SK-007</t>
  </si>
  <si>
    <t>Podman Export Container Runbook Execution Skill</t>
  </si>
  <si>
    <t>PLAN-SK-008</t>
  </si>
  <si>
    <t>AWS ECS Service Delete Runbook Execution Skill</t>
  </si>
  <si>
    <t>PLAN-SK-009</t>
  </si>
  <si>
    <t>GCP Check Bucket Labels Runbook Execution Skill</t>
  </si>
  <si>
    <t>PLAN-SK-010</t>
  </si>
  <si>
    <t>VMware Horizon Fix Single VDI With Agent Unreachable Runbook Execution Skill</t>
  </si>
  <si>
    <t>PLAN-SK-011</t>
  </si>
  <si>
    <t>Windows Ping Failure Runbook Execution Skill</t>
  </si>
  <si>
    <t>PLAN-SK-012</t>
  </si>
  <si>
    <t>Linux Tuning Of OS Parameters Runbook Execution Skill</t>
  </si>
  <si>
    <t>PLAN-SK-013</t>
  </si>
  <si>
    <t>Kubernetes Delete Service Object Runbook Execution Skill</t>
  </si>
  <si>
    <t>PLAN-SK-014</t>
  </si>
  <si>
    <t>Backup &amp; Data Ops</t>
  </si>
  <si>
    <t>Hadoop HDFS Download File From HDFS To Local Runbook Execution Skill</t>
  </si>
  <si>
    <t>PLAN-SK-015</t>
  </si>
  <si>
    <t>MSSQL Windows Create Dbmaintenance Plans Runbook Execution Skill</t>
  </si>
  <si>
    <t>PLAN-SK-016</t>
  </si>
  <si>
    <t>MSSQL Create Login Runbook Execution Skill</t>
  </si>
  <si>
    <t>PLAN-SK-017</t>
  </si>
  <si>
    <t>Unity Get Health Check Of Unity Box Runbook Execution Skill</t>
  </si>
  <si>
    <t>PLAN-SK-018</t>
  </si>
  <si>
    <t>MSSQL Disable All DB Constraints Runbook Execution Skill</t>
  </si>
  <si>
    <t>PLAN-SK-019</t>
  </si>
  <si>
    <t>Database Consultancy Runbook Creation Skill</t>
  </si>
  <si>
    <t>PLAN-SK-020</t>
  </si>
  <si>
    <t>Retirement In CMDB Runbook Creation Skill</t>
  </si>
  <si>
    <t>PLAN-SK-021</t>
  </si>
  <si>
    <t>SQL Decommission Runbook Creation Skill</t>
  </si>
  <si>
    <t>PLAN-SK-022</t>
  </si>
  <si>
    <t>Reclaim Storage Runbook Creation Skill</t>
  </si>
  <si>
    <t>PLAN-SK-023</t>
  </si>
  <si>
    <t>Known-error Promotion And Retirement Governance Evidence Skill</t>
  </si>
  <si>
    <t>PLAN-SK-024</t>
  </si>
  <si>
    <t>IAM &amp; Access</t>
  </si>
  <si>
    <t>Tech Service Request Access Fulfilment Skill</t>
  </si>
  <si>
    <t>PLAN-SK-025</t>
  </si>
  <si>
    <t>File Share Access Access Fulfilment Skill</t>
  </si>
  <si>
    <t>PLAN-SK-026</t>
  </si>
  <si>
    <t>Tech Service Request Access Fulfilment Skill Variant 02</t>
  </si>
  <si>
    <t>PLAN-SK-027</t>
  </si>
  <si>
    <t>File Share Access Access Fulfilment Skill Variant 02</t>
  </si>
  <si>
    <t>PLAN-SK-028</t>
  </si>
  <si>
    <t>Tech Service Request Access Fulfilment Skill Variant 03</t>
  </si>
  <si>
    <t>PLAN-SK-029</t>
  </si>
  <si>
    <t>File Share Access Access Fulfilment Skill Variant 03</t>
  </si>
  <si>
    <t>PLAN-SK-030</t>
  </si>
  <si>
    <t>AS400 User Unlock Access Fulfilment Skill</t>
  </si>
  <si>
    <t>PLAN-SK-031</t>
  </si>
  <si>
    <t>Sailpoint Password Reset Access Fulfilment Skill</t>
  </si>
  <si>
    <t>PLAN-SK-032</t>
  </si>
  <si>
    <t>Update User Phone Number In IAM Product Saviynt Access Fulfilment Skill</t>
  </si>
  <si>
    <t>PLAN-SK-033</t>
  </si>
  <si>
    <t>Mongodb Delete User Access Fulfilment Skill</t>
  </si>
  <si>
    <t>PLAN-SK-034</t>
  </si>
  <si>
    <t>Windows Install Remote Access Management Tools Access Fulfilment Skill</t>
  </si>
  <si>
    <t>PLAN-SK-035</t>
  </si>
  <si>
    <t>Complete Customer Hardware Kit Bundle Accessories Guide Et Adaptation Discovery Skill</t>
  </si>
  <si>
    <t>PLAN-SK-036</t>
  </si>
  <si>
    <t>Privileged Access Management Service Request Please Review Adaptation Discovery Skill</t>
  </si>
  <si>
    <t>PLAN-SK-037</t>
  </si>
  <si>
    <t>REQUEST ID Vmdecomm 20251218231710 Dresagtw16001 REVOKE PR Adaptation Discovery Skill</t>
  </si>
  <si>
    <t>PLAN-SK-038</t>
  </si>
  <si>
    <t>Schema Account Management In Accordance To Vqd-wi-016226 Adaptation Discovery Skill</t>
  </si>
  <si>
    <t>PLAN-SK-039</t>
  </si>
  <si>
    <t>SSO Consultation Adaptation Discovery Skill</t>
  </si>
  <si>
    <t>PLAN-SK-040</t>
  </si>
  <si>
    <t>SSO Consultation Runbook Creation Skill</t>
  </si>
  <si>
    <t>PLAN-SK-041</t>
  </si>
  <si>
    <t>Privileged Access Exception Handling Governance Evidence Skill</t>
  </si>
  <si>
    <t>PLAN-SK-042</t>
  </si>
  <si>
    <t>NetDevOps</t>
  </si>
  <si>
    <t>Perimeter Change Consultancy Change Implementation Agent Action Skill</t>
  </si>
  <si>
    <t>PLAN-SK-043</t>
  </si>
  <si>
    <t>Perimeter Change Consultancy Change Implementation Agent Action Skill Variant 02</t>
  </si>
  <si>
    <t>PLAN-SK-044</t>
  </si>
  <si>
    <t>Perimeter Change Consultancy Change Implementation Agent Action Skill Variant 03</t>
  </si>
  <si>
    <t>PLAN-SK-045</t>
  </si>
  <si>
    <t>Cisco Sdwan Add User Runbook Execution Skill</t>
  </si>
  <si>
    <t>PLAN-SK-046</t>
  </si>
  <si>
    <t>Network Interface Down Runbook Execution Skill</t>
  </si>
  <si>
    <t>PLAN-SK-047</t>
  </si>
  <si>
    <t>F5 BIGIP Diff Running Config Against Provided Config Runbook Execution Skill</t>
  </si>
  <si>
    <t>PLAN-SK-048</t>
  </si>
  <si>
    <t>F5 BIGIP Delete LTM Virtual Server GTM Wideip Runbook Execution Skill</t>
  </si>
  <si>
    <t>PLAN-SK-049</t>
  </si>
  <si>
    <t>PA Fetch Attached Interfaces Runbook Execution Skill</t>
  </si>
  <si>
    <t>PLAN-SK-050</t>
  </si>
  <si>
    <t>AWS Restrict Security Groups For Uncommon Ports Runbook Execution Skill</t>
  </si>
  <si>
    <t>PLAN-SK-051</t>
  </si>
  <si>
    <t>PA Create Security Profile Runbook Execution Skill</t>
  </si>
  <si>
    <t>PLAN-SK-052</t>
  </si>
  <si>
    <t>VMware HCI Add Network Adaptor Runbook Execution Skill</t>
  </si>
  <si>
    <t>PLAN-SK-053</t>
  </si>
  <si>
    <t>PA Determine HA Status Runbook Execution Skill</t>
  </si>
  <si>
    <t>PLAN-SK-054</t>
  </si>
  <si>
    <t>Fortigate Create VLAN Interface Runbook Execution Skill</t>
  </si>
  <si>
    <t>PLAN-SK-055</t>
  </si>
  <si>
    <t>F5 Create Snmp Dcs Monitor Runbook Execution Skill</t>
  </si>
  <si>
    <t>PLAN-SK-056</t>
  </si>
  <si>
    <t>Change Implementation Adaptation Discovery Skill</t>
  </si>
  <si>
    <t>PLAN-SK-057</t>
  </si>
  <si>
    <t>Asset Has Reboot Event IE1SXSMBAPPC01 Has Reboot Event Agent Action Skill</t>
  </si>
  <si>
    <t>PLAN-SK-058</t>
  </si>
  <si>
    <t>Asset Is Down And Or Unresponsive Please Verify SG2SXSMBAP Agent Action Skill</t>
  </si>
  <si>
    <t>PLAN-SK-059</t>
  </si>
  <si>
    <t>Asset Usage Threshold Wavosawn01304memory Usage Threshold Agent Action Skill</t>
  </si>
  <si>
    <t>PLAN-SK-060</t>
  </si>
  <si>
    <t>Asset Cpu Threshold WAVOSAWN01304 CPU Threshold Agent Action Skill</t>
  </si>
  <si>
    <t>PLAN-SK-061</t>
  </si>
  <si>
    <t>Asset Has Reboot Event Abbsawn00001 Has Reboot Event. Agent Action Skill</t>
  </si>
  <si>
    <t>PLAN-SK-062</t>
  </si>
  <si>
    <t>Asset Service Is In Faulty State Araosawn00009 Service Is Agent Action Skill</t>
  </si>
  <si>
    <t>PLAN-SK-063</t>
  </si>
  <si>
    <t>Asset Has Reboot Event IE1SXSMBAPPC01 Has Reboot Event Agent Action Skill Variant 02</t>
  </si>
  <si>
    <t>PLAN-SK-064</t>
  </si>
  <si>
    <t>Asset Is Down And Or Unresponsive Please Verify SG2SXSMBAP Agent Action Skill Variant 02</t>
  </si>
  <si>
    <t>PLAN-SK-065</t>
  </si>
  <si>
    <t>Asset Usage Threshold Wavosawn01304memory Usage Threshold Agent Action Skill Variant 02</t>
  </si>
  <si>
    <t>PLAN-SK-066</t>
  </si>
  <si>
    <t>Asset Cpu Threshold WAVOSAWN01304 CPU Threshold Agent Action Skill Variant 02</t>
  </si>
  <si>
    <t>PLAN-SK-067</t>
  </si>
  <si>
    <t>Asset Has Reboot Event Abbsawn00001 Has Reboot Event. Agent Action Skill Variant 02</t>
  </si>
  <si>
    <t>PLAN-SK-068</t>
  </si>
  <si>
    <t>Asset Service Is In Faulty State Araosawn00009 Service Is Agent Action Skill Variant 02</t>
  </si>
  <si>
    <t>PLAN-SK-069</t>
  </si>
  <si>
    <t>Asset Has Reboot Event IE1SXSMBAPPC01 Has Reboot Event Agent Action Skill Variant 03</t>
  </si>
  <si>
    <t>PLAN-SK-070</t>
  </si>
  <si>
    <t>Asset Is Down And Or Unresponsive Please Verify SG2SXSMBAP Agent Action Skill Variant 03</t>
  </si>
  <si>
    <t>PLAN-SK-071</t>
  </si>
  <si>
    <t>Asset Usage Threshold Wavosawn01304memory Usage Threshold Agent Action Skill Variant 03</t>
  </si>
  <si>
    <t>PLAN-SK-072</t>
  </si>
  <si>
    <t>Asset Cpu Threshold WAVOSAWN01304 CPU Threshold Agent Action Skill Variant 03</t>
  </si>
  <si>
    <t>PLAN-SK-073</t>
  </si>
  <si>
    <t>Asset Has Reboot Event Abbsawn00001 Has Reboot Event. Agent Action Skill Variant 03</t>
  </si>
  <si>
    <t>PLAN-SK-074</t>
  </si>
  <si>
    <t>Asset Service Is In Faulty State Araosawn00009 Service Is Agent Action Skill Variant 03</t>
  </si>
  <si>
    <t>PLAN-SK-075</t>
  </si>
  <si>
    <t>Windows Write Application Event Log Runbook Execution Skill</t>
  </si>
  <si>
    <t>PLAN-SK-076</t>
  </si>
  <si>
    <t>Kubernetes Scale Down Deployment Runbook Execution Skill</t>
  </si>
  <si>
    <t>PLAN-SK-077</t>
  </si>
  <si>
    <t>Linux High Memory Utilization Runbook Execution Skill</t>
  </si>
  <si>
    <t>PLAN-SK-078</t>
  </si>
  <si>
    <t>Linux High CPU Utilization Runbook Execution Skill</t>
  </si>
  <si>
    <t>PLAN-SK-079</t>
  </si>
  <si>
    <t>AWS Create Cloudwatch Event Rule Runbook Execution Skill</t>
  </si>
  <si>
    <t>PLAN-SK-080</t>
  </si>
  <si>
    <t>Wavsalxhrv001 CPU Threshold Runbook Creation Skill</t>
  </si>
  <si>
    <t>PLAN-SK-081</t>
  </si>
  <si>
    <t>New Laptop Computer Request Assign Hardware Kit To User An Agent Action Skill</t>
  </si>
  <si>
    <t>PLAN-SK-082</t>
  </si>
  <si>
    <t>Computer Ipad Return Add Ship Box Using Non-ups Agent Action Skill</t>
  </si>
  <si>
    <t>PLAN-SK-083</t>
  </si>
  <si>
    <t>New Ipad Request Assign Hardware Kit To User And Add Any R Agent Action Skill</t>
  </si>
  <si>
    <t>PLAN-SK-084</t>
  </si>
  <si>
    <t>Node Is Down Zero Hold Down On Device Asset Node Is DOWN Z Agent Action Skill</t>
  </si>
  <si>
    <t>PLAN-SK-085</t>
  </si>
  <si>
    <t>VA D Engagement Adding User CFV41018 To AD Group CTX RAAC4 Agent Action Skill</t>
  </si>
  <si>
    <t>PLAN-SK-086</t>
  </si>
  <si>
    <t>Global Tech Site Ops Support Agent Action Skill</t>
  </si>
  <si>
    <t>PLAN-SK-087</t>
  </si>
  <si>
    <t>New Laptop Computer Request Assign Hardware Kit To User An Agent Action Skill Variant 02</t>
  </si>
  <si>
    <t>PLAN-SK-088</t>
  </si>
  <si>
    <t>Computer Ipad Return Add Ship Box Using Non-ups Agent Action Skill Variant 02</t>
  </si>
  <si>
    <t>PLAN-SK-089</t>
  </si>
  <si>
    <t>New Ipad Request Assign Hardware Kit To User And Add Any R Agent Action Skill Variant 02</t>
  </si>
  <si>
    <t>PLAN-SK-090</t>
  </si>
  <si>
    <t>Node Is Down Zero Hold Down On Device Asset Node Is DOWN Z Agent Action Skill Variant 02</t>
  </si>
  <si>
    <t>PLAN-SK-091</t>
  </si>
  <si>
    <t>VA D Engagement Adding User CFV41018 To AD Group CTX RAAC4 Agent Action Skill Variant 02</t>
  </si>
  <si>
    <t>PLAN-SK-092</t>
  </si>
  <si>
    <t>Global Tech Site Ops Support Agent Action Skill Variant 02</t>
  </si>
  <si>
    <t>PLAN-SK-093</t>
  </si>
  <si>
    <t>New Laptop Computer Request Assign Hardware Kit To User An Agent Action Skill Variant 03</t>
  </si>
  <si>
    <t>PLAN-SK-094</t>
  </si>
  <si>
    <t>Computer Ipad Return Add Ship Box Using Non-ups Agent Action Skill Variant 03</t>
  </si>
  <si>
    <t>PLAN-SK-095</t>
  </si>
  <si>
    <t>New Ipad Request Assign Hardware Kit To User And Add Any R Agent Action Skill Variant 03</t>
  </si>
  <si>
    <t>PLAN-SK-096</t>
  </si>
  <si>
    <t>Node Is Down Zero Hold Down On Device Asset Node Is DOWN Z Agent Action Skill Variant 03</t>
  </si>
  <si>
    <t>PLAN-SK-097</t>
  </si>
  <si>
    <t>VA D Engagement Adding User CFV41018 To AD Group CTX RAAC4 Agent Action Skill Variant 03</t>
  </si>
  <si>
    <t>PLAN-SK-098</t>
  </si>
  <si>
    <t>Global Tech Site Ops Support Agent Action Skill Variant 03</t>
  </si>
  <si>
    <t>PLAN-SK-099</t>
  </si>
  <si>
    <t>Verify Local Stock Adaptation Discovery Skill</t>
  </si>
  <si>
    <t>PLAN-SK-100</t>
  </si>
  <si>
    <t>Localize Personalize Device Adaptation Discovery Skill</t>
  </si>
  <si>
    <t>PLAN-SK-101</t>
  </si>
  <si>
    <t>Deliver Ship Devices Hand Deliver Adaptation Discovery Skill</t>
  </si>
  <si>
    <t>PLAN-SK-102</t>
  </si>
  <si>
    <t>Node Is DOWN Zero Hold Down On Device Taindca001.corpnet2. Adaptation Discovery Skill</t>
  </si>
  <si>
    <t>PLAN-SK-103</t>
  </si>
  <si>
    <t>Deliver Ship Devices Via UPS Adaptation Discovery Skill</t>
  </si>
  <si>
    <t>PLAN-SK-104</t>
  </si>
  <si>
    <t>Localize Personalize Device Runbook Creation Skill</t>
  </si>
  <si>
    <t>PLAN-SK-105</t>
  </si>
  <si>
    <t>Deliver Ship Devices Hand Deliver Runbook Creation Skill</t>
  </si>
  <si>
    <t>PLAN-SK-106</t>
  </si>
  <si>
    <t>Deliver Ship Devices Via UPS Runbook Creation Skill</t>
  </si>
  <si>
    <t>PLAN-SK-107</t>
  </si>
  <si>
    <t>TACAS Devices Runbook Creation Skill</t>
  </si>
  <si>
    <t>PLAN-SK-108</t>
  </si>
  <si>
    <t>Known-skill First Reuse Assessment Governance Evidence Skill</t>
  </si>
  <si>
    <t>PLAN-SK-109</t>
  </si>
  <si>
    <t>Skill Ownership And Lifecycle Registration Governance Evidence Skill</t>
  </si>
  <si>
    <t>PLAN-SK-110</t>
  </si>
  <si>
    <t>App Ops</t>
  </si>
  <si>
    <t>Messaging Email Consultation Runbook Creation Skill</t>
  </si>
  <si>
    <t>PLAN-SK-111</t>
  </si>
  <si>
    <t>UAT Preparation Runbook Creation Skill</t>
  </si>
  <si>
    <t>PLAN-SK-112</t>
  </si>
  <si>
    <t>Adobe Sign Digital Signature Runbook Creation Skill</t>
  </si>
  <si>
    <t>PLAN-SK-113</t>
  </si>
  <si>
    <t>Distribution Runbook Creation Skill</t>
  </si>
  <si>
    <t>PLAN-SK-114</t>
  </si>
  <si>
    <t>Verification Runbook Creation Skill</t>
  </si>
  <si>
    <t>PLAN-SK-115</t>
  </si>
  <si>
    <t>Server Build Os Installation In Accordance To The Asset Se Change Evidence Skill</t>
  </si>
  <si>
    <t>PLAN-SK-116</t>
  </si>
  <si>
    <t>Database Account Maintenance Account Creation Failed For A Change Evidence Skill</t>
  </si>
  <si>
    <t>PLAN-SK-117</t>
  </si>
  <si>
    <t>Server Build Os Installation In Accordance To The Asset Se Change Evidence Skill Variant 02</t>
  </si>
  <si>
    <t>PLAN-SK-118</t>
  </si>
  <si>
    <t>Database Account Maintenance Account Creation Failed For A Change Evidence Skill Variant 02</t>
  </si>
  <si>
    <t>PLAN-SK-119</t>
  </si>
  <si>
    <t>Server Build Os Installation In Accordance To The Asset Se Change Evidence Skill Variant 03</t>
  </si>
  <si>
    <t>PLAN-SK-120</t>
  </si>
  <si>
    <t>Database Account Maintenance Account Creation Failed For A Change Evidence Skill Variant 03</t>
  </si>
  <si>
    <t>PLAN-SK-121</t>
  </si>
  <si>
    <t>Stop VM In Azure Google Cloud Platform - User Driven From Adaptation Discovery Skill</t>
  </si>
  <si>
    <t>PLAN-SK-122</t>
  </si>
  <si>
    <t>Wavsalxhrv001 CPU Threshold Adaptation Discovery Skill</t>
  </si>
  <si>
    <t>PLAN-SK-123</t>
  </si>
  <si>
    <t>Production System Administration Task Adaptation Discovery Skill</t>
  </si>
  <si>
    <t>PLAN-SK-124</t>
  </si>
  <si>
    <t>Change Request Review Adaptation Discovery Skill</t>
  </si>
  <si>
    <t>PLAN-SK-125</t>
  </si>
  <si>
    <t>Database Consultancy Adaptation Discovery Skill</t>
  </si>
  <si>
    <t>PLAN-SK-126</t>
  </si>
  <si>
    <t>Agent Unreachable REASON Unable To Connect To The Agent At Adaptation Discovery Skill</t>
  </si>
  <si>
    <t>PLAN-SK-127</t>
  </si>
  <si>
    <t>1 Distinct Types Of Ora- Errors Have Been Found In The Ale Adaptation Discovery Skill</t>
  </si>
  <si>
    <t>PLAN-SK-128</t>
  </si>
  <si>
    <t>Secondary Approval Task Adaptation Discovery Skill</t>
  </si>
  <si>
    <t>PLAN-SK-129</t>
  </si>
  <si>
    <t>Restart Server Or Start Server In Accordance To The Vqd-so Adaptation Discovery Skill</t>
  </si>
  <si>
    <t>PLAN-SK-130</t>
  </si>
  <si>
    <t>Agent Release Risk Tiering Governance Evidence Skill</t>
  </si>
  <si>
    <t>PLAN-SK-131</t>
  </si>
  <si>
    <t>Rollback Evidence Readiness Governance Evidence Skill</t>
  </si>
  <si>
    <t>PLAN-SK-132</t>
  </si>
  <si>
    <t>SLO And Noise Governance Governance Evidence Skill</t>
  </si>
  <si>
    <t>PLAN-SK-133</t>
  </si>
  <si>
    <t>Automation Value Telemetry Governance Evidence Skill</t>
  </si>
  <si>
    <t>PLAN-SK-134</t>
  </si>
  <si>
    <t>Not Available Runbook Execution Skill</t>
  </si>
  <si>
    <t>PLAN-SK-135</t>
  </si>
  <si>
    <t>Evidence Ledger For Agent Actions Governance Evidence Skill</t>
  </si>
  <si>
    <t>PLAN-SK-136</t>
  </si>
  <si>
    <t>Human Approval Policy By Action Type Governance Evidence Skill</t>
  </si>
  <si>
    <t>Metric</t>
  </si>
  <si>
    <t>Value</t>
  </si>
  <si>
    <t>Source / formula</t>
  </si>
  <si>
    <t>Planning note</t>
  </si>
  <si>
    <t>Baseline total tickets</t>
  </si>
  <si>
    <t>GSK SR / INC / CHG baseline</t>
  </si>
  <si>
    <t>Total analysed ticket baseline.</t>
  </si>
  <si>
    <t>Existing automated / excluded automation</t>
  </si>
  <si>
    <t>GSK ticket impact baseline</t>
  </si>
  <si>
    <t>Already automated or excluded automation baseline.</t>
  </si>
  <si>
    <t>Manual opportunity baseline</t>
  </si>
  <si>
    <t>B2 - B3</t>
  </si>
  <si>
    <t>Manual baseline available for year-1 automation opportunity sizing.</t>
  </si>
  <si>
    <t>Year-1 automation opportunity target</t>
  </si>
  <si>
    <t>Planning target</t>
  </si>
  <si>
    <t>Applies to manual opportunity baseline, not total ticket volume.</t>
  </si>
  <si>
    <t>Year-1 automation opportunity tickets</t>
  </si>
  <si>
    <t>ROUND(B4 * B5, 0)</t>
  </si>
  <si>
    <t>Target automation opportunity to plan through waves and sprints.</t>
  </si>
  <si>
    <t>Residual manual baseline after target</t>
  </si>
  <si>
    <t>B4 - B6</t>
  </si>
  <si>
    <t>Manual opportunity that remains after year-1 target.</t>
  </si>
  <si>
    <t>Total automation posture after Year 1</t>
  </si>
  <si>
    <t>(B3 + B6) / B2</t>
  </si>
  <si>
    <t>Existing automation plus year-1 opportunity target as share of baseline.</t>
  </si>
  <si>
    <t>Planning caveat</t>
  </si>
  <si>
    <t>Opportunity target</t>
  </si>
  <si>
    <t>User planning input + GSK data baseline</t>
  </si>
  <si>
    <t>Use for roadmap sizing; realization requires SME validation, approvals and runbook/tool readiness.</t>
  </si>
  <si>
    <t>Sprint</t>
  </si>
  <si>
    <t>Month</t>
  </si>
  <si>
    <t>Wave</t>
  </si>
  <si>
    <t>Primary build / rollout focus</t>
  </si>
  <si>
    <t>% of Year-1 target</t>
  </si>
  <si>
    <t>Target tickets</t>
  </si>
  <si>
    <t>Cumulative target</t>
  </si>
  <si>
    <t>Exit gate / evidence</t>
  </si>
  <si>
    <t>S01</t>
  </si>
  <si>
    <t>M1</t>
  </si>
  <si>
    <t>Wave 0 - Foundation</t>
  </si>
  <si>
    <t>Baseline, controls, catalogue hygiene, evidence model and skill intake governance</t>
  </si>
  <si>
    <t>Control model signed; skill intake board active</t>
  </si>
  <si>
    <t>S02</t>
  </si>
  <si>
    <t>M2</t>
  </si>
  <si>
    <t>Wave 1 - Prove</t>
  </si>
  <si>
    <t>Top CloudOps runbooks and GSO demand patterns pilots</t>
  </si>
  <si>
    <t>Pilot evidence, rollback and human approval route validated</t>
  </si>
  <si>
    <t>S03</t>
  </si>
  <si>
    <t>M3</t>
  </si>
  <si>
    <t>IAM access fulfilment, routing and knowledge reuse pilots</t>
  </si>
  <si>
    <t>Reuse-first decision log and approved tool path</t>
  </si>
  <si>
    <t>S04</t>
  </si>
  <si>
    <t>M4</t>
  </si>
  <si>
    <t>Incident triage, alert-noise and known-error promotion</t>
  </si>
  <si>
    <t>Agent actions traced to incident evidence ledger</t>
  </si>
  <si>
    <t>S05</t>
  </si>
  <si>
    <t>M5</t>
  </si>
  <si>
    <t>Wave 2 - Factory</t>
  </si>
  <si>
    <t>Runbook execution adapters and standard change evidence packs</t>
  </si>
  <si>
    <t>Approved reusable patterns promoted to catalogue</t>
  </si>
  <si>
    <t>S06</t>
  </si>
  <si>
    <t>M6</t>
  </si>
  <si>
    <t>Service desk fulfilment, device flows and knowledge-base uplift</t>
  </si>
  <si>
    <t>Fulfilment and closure evidence captured</t>
  </si>
  <si>
    <t>S07</t>
  </si>
  <si>
    <t>M7</t>
  </si>
  <si>
    <t>NetDevOps intake, firewall / DNS validation and remediation checks</t>
  </si>
  <si>
    <t>Network actions gated by risk tier</t>
  </si>
  <si>
    <t>S08</t>
  </si>
  <si>
    <t>M8</t>
  </si>
  <si>
    <t>Wave 3 - Scale</t>
  </si>
  <si>
    <t>AIOps event correlation, RCA and health-check agents</t>
  </si>
  <si>
    <t>Noise reduction does not suppress SLO / risk signals</t>
  </si>
  <si>
    <t>S09</t>
  </si>
  <si>
    <t>M9</t>
  </si>
  <si>
    <t>CloudOps / backup recovery automation scale-out</t>
  </si>
  <si>
    <t>Rollback readiness and recovery proof available</t>
  </si>
  <si>
    <t>S10</t>
  </si>
  <si>
    <t>M10</t>
  </si>
  <si>
    <t>Cross-tower service assist, resolver and knowledge promotion</t>
  </si>
  <si>
    <t>A2A handoff and human-control path validated</t>
  </si>
  <si>
    <t>S11</t>
  </si>
  <si>
    <t>M11</t>
  </si>
  <si>
    <t>Wave 4 - Optimize</t>
  </si>
  <si>
    <t>FinOps value telemetry, cost controls and agent reuse rationalization</t>
  </si>
  <si>
    <t>Benefit, cost and reuse ledger reviewed</t>
  </si>
  <si>
    <t>S12</t>
  </si>
  <si>
    <t>M12</t>
  </si>
  <si>
    <t>Hardening, retirement candidates, audit pack and year-2 backlog</t>
  </si>
  <si>
    <t>Year-1 target evidence pack and year-2 roadmap ready</t>
  </si>
  <si>
    <t>Received skills</t>
  </si>
  <si>
    <t>Planned skills</t>
  </si>
  <si>
    <t>Atomic usecases</t>
  </si>
  <si>
    <t>Wave / sprint entry</t>
  </si>
  <si>
    <t>Allocation %</t>
  </si>
  <si>
    <t>Year-1 target tickets</t>
  </si>
  <si>
    <t>Automation focus / control note</t>
  </si>
  <si>
    <t>S01-S12</t>
  </si>
  <si>
    <t>Central governance, catalogue, evidence ledger, ADLC gates and reuse-first controls</t>
  </si>
  <si>
    <t>S02-S10</t>
  </si>
  <si>
    <t>Server, VM, cloud runbook execution and remediation adapters</t>
  </si>
  <si>
    <t>S03-S10</t>
  </si>
  <si>
    <t>GSO demand, service assist, knowledge/KEDB and fulfilment automation</t>
  </si>
  <si>
    <t>S04-S09</t>
  </si>
  <si>
    <t>Event correlation, alert-noise reduction, RCA and health signal automation</t>
  </si>
  <si>
    <t>S03-S07</t>
  </si>
  <si>
    <t>Access fulfilment, entitlement checks and approval routing</t>
  </si>
  <si>
    <t>S05-S12</t>
  </si>
  <si>
    <t>Standard change evidence packs, CAB support, rollback and release controls</t>
  </si>
  <si>
    <t>S07-S10</t>
  </si>
  <si>
    <t>Firewall, DNS, network intake and remediation validation</t>
  </si>
  <si>
    <t>S05-S09</t>
  </si>
  <si>
    <t>Backup recovery, storage capacity and database operation patterns</t>
  </si>
  <si>
    <t>S08-S12</t>
  </si>
  <si>
    <t>Application operations and collaboration workflow support</t>
  </si>
  <si>
    <t>S02-S12</t>
  </si>
  <si>
    <t>Demand signal prioritization, cross-tower routing and agent handoff</t>
  </si>
  <si>
    <t>S11-S12</t>
  </si>
  <si>
    <t>Value telemetry, cost guardrails, reuse and retirement decisions</t>
  </si>
  <si>
    <t>Total</t>
  </si>
  <si>
    <t>Year-1</t>
  </si>
  <si>
    <t>Allocation total validates the 70% year-1 opportunity plan.</t>
  </si>
  <si>
    <t>GSK Code Orange Year-1 Token Consumption and Platform TCO Model</t>
  </si>
  <si>
    <t>Planning view: token consumption is driven by the 70% year-1 automation opportunity; unit rates and infra assumptions are editable and should be replaced with GSK / Google contracted pricing before commitment.</t>
  </si>
  <si>
    <t>Year-1 automation actions</t>
  </si>
  <si>
    <t>Pulled from Opportunity_70pct target tickets.</t>
  </si>
  <si>
    <t>Raw annual input tokens</t>
  </si>
  <si>
    <t>Before token overhead / eval allowance.</t>
  </si>
  <si>
    <t>Raw annual cached/context tokens</t>
  </si>
  <si>
    <t>Context reuse / grounding material sent as cached context where applicable.</t>
  </si>
  <si>
    <t>Raw annual output tokens</t>
  </si>
  <si>
    <t>Includes response and reasoning output tokens where charged by model.</t>
  </si>
  <si>
    <t>Annual model token cost</t>
  </si>
  <si>
    <t>Calculated from tier mix and model-rate assumptions, including overhead factor.</t>
  </si>
  <si>
    <t>Agent infra + Vertex platform cost</t>
  </si>
  <si>
    <t>Editable run-rate model for agent runtime, evidence, observability and platform controls.</t>
  </si>
  <si>
    <t>Indicative Year-1 platform TCO</t>
  </si>
  <si>
    <t>Model token cost + platform/infra cost; excludes delivery labor and customer license true-ups.</t>
  </si>
  <si>
    <t>Cost per automated action</t>
  </si>
  <si>
    <t>Indicative TCO divided by Year-1 automation actions.</t>
  </si>
  <si>
    <t>Token overhead / eval factor</t>
  </si>
  <si>
    <t>Allowance for retry, evaluation, guardrail, safety and prompt-variant traffic.</t>
  </si>
  <si>
    <t>Tier</t>
  </si>
  <si>
    <t>Agent / use pattern</t>
  </si>
  <si>
    <t>Share of actions</t>
  </si>
  <si>
    <t>Automated actions</t>
  </si>
  <si>
    <t>Calls / action</t>
  </si>
  <si>
    <t>Input tokens / call</t>
  </si>
  <si>
    <t>Cached tokens / call</t>
  </si>
  <si>
    <t>Output tokens / call</t>
  </si>
  <si>
    <t>Annual input tokens</t>
  </si>
  <si>
    <t>Annual cached tokens</t>
  </si>
  <si>
    <t>Annual output tokens</t>
  </si>
  <si>
    <t>Model tier</t>
  </si>
  <si>
    <t>Input $ / 1M</t>
  </si>
  <si>
    <t>Cached $ / 1M</t>
  </si>
  <si>
    <t>Output $ / 1M</t>
  </si>
  <si>
    <t>Annual model cost</t>
  </si>
  <si>
    <t>T1</t>
  </si>
  <si>
    <t>Classify, route, summarize, simple service assist</t>
  </si>
  <si>
    <t>Efficient / Flash-Lite</t>
  </si>
  <si>
    <t>T2</t>
  </si>
  <si>
    <t>Runbook execution, resolver assist, knowledge/KEDB uplift</t>
  </si>
  <si>
    <t>Standard / Flash</t>
  </si>
  <si>
    <t>T3</t>
  </si>
  <si>
    <t>Governed multi-agent RCA, change evidence, human approval routing</t>
  </si>
  <si>
    <t>T4</t>
  </si>
  <si>
    <t>Complex reasoning, major incident support, risk and release gates</t>
  </si>
  <si>
    <t>Higher reasoning / Flash-Pro tier</t>
  </si>
  <si>
    <t>Component</t>
  </si>
  <si>
    <t>Cost bucket</t>
  </si>
  <si>
    <t>Unit / driver</t>
  </si>
  <si>
    <t>Monthly qty</t>
  </si>
  <si>
    <t>Unit cost / month</t>
  </si>
  <si>
    <t>Active months</t>
  </si>
  <si>
    <t>Annual cost</t>
  </si>
  <si>
    <t>Agent runtime services</t>
  </si>
  <si>
    <t>Agent infra</t>
  </si>
  <si>
    <t>Cloud Run / worker services</t>
  </si>
  <si>
    <t>Runtime for promoted functional agents and job workers.</t>
  </si>
  <si>
    <t>A2A / MCP gateway and orchestration</t>
  </si>
  <si>
    <t>Gateway / queues / coordination</t>
  </si>
  <si>
    <t>Shared connectivity, tool handoff and orchestration control.</t>
  </si>
  <si>
    <t>Vertex AI platform controls</t>
  </si>
  <si>
    <t>Vertex infra</t>
  </si>
  <si>
    <t>Prompt registry, evals, guardrails</t>
  </si>
  <si>
    <t>Platform controls around model use, evals and release gates.</t>
  </si>
  <si>
    <t>Evidence ledger and operational data</t>
  </si>
  <si>
    <t>Data / evidence</t>
  </si>
  <si>
    <t>BigQuery, logs, storage and retention</t>
  </si>
  <si>
    <t>Evidence, audit trace, rollback proof and value tracking.</t>
  </si>
  <si>
    <t>Observability and FinOps telemetry</t>
  </si>
  <si>
    <t>Operations</t>
  </si>
  <si>
    <t>SLO, cost and agent health telemetry</t>
  </si>
  <si>
    <t>Runtime health, cost controls, reuse and SLA/SLO telemetry.</t>
  </si>
  <si>
    <t>Secure connectors and tool adapters</t>
  </si>
  <si>
    <t>Integration</t>
  </si>
  <si>
    <t>SNOW, CMDB, Veeva, SAP, M365, Power BI</t>
  </si>
  <si>
    <t>Connector hardening and reusable adapter capacity.</t>
  </si>
  <si>
    <t>Dev / test / prod environments</t>
  </si>
  <si>
    <t>Platform environments</t>
  </si>
  <si>
    <t>Three controlled environments</t>
  </si>
  <si>
    <t>Sandbox, test and production execution lanes.</t>
  </si>
  <si>
    <t>Security, IAM, KMS and secrets</t>
  </si>
  <si>
    <t>Security</t>
  </si>
  <si>
    <t>Access, secrets, key and policy controls</t>
  </si>
  <si>
    <t>Least-privilege access and operational guardrails.</t>
  </si>
  <si>
    <t>HA / contingency reserve</t>
  </si>
  <si>
    <t>Contingency</t>
  </si>
  <si>
    <t>12% platform reserve</t>
  </si>
  <si>
    <t>Allowance for HA, resilience, spikes and support service variance.</t>
  </si>
  <si>
    <t>Infra/platform total used by summary.</t>
  </si>
  <si>
    <t>Scenario</t>
  </si>
  <si>
    <t>Token multiplier</t>
  </si>
  <si>
    <t>Infra multiplier</t>
  </si>
  <si>
    <t>Model token cost</t>
  </si>
  <si>
    <t>Infra/platform cost</t>
  </si>
  <si>
    <t>Year-1 TCO</t>
  </si>
  <si>
    <t>Cost / action</t>
  </si>
  <si>
    <t>When to use</t>
  </si>
  <si>
    <t>Lean</t>
  </si>
  <si>
    <t>Pilot-heavy rollout with controlled concurrency and lower HA posture.</t>
  </si>
  <si>
    <t>Base plan</t>
  </si>
  <si>
    <t>Recommended planning case aligned to 70% Year-1 opportunity.</t>
  </si>
  <si>
    <t>Scale / HA</t>
  </si>
  <si>
    <t>Higher availability, more eval traffic, connector depth and resilience.</t>
  </si>
  <si>
    <t>Pricing reference</t>
  </si>
  <si>
    <t>URL</t>
  </si>
  <si>
    <t>Use in model</t>
  </si>
  <si>
    <t>Google Cloud Agent Platform pricing</t>
  </si>
  <si>
    <t>https://cloud.google.com/gemini-enterprise-agent-platform/generative-ai/pricing</t>
  </si>
  <si>
    <t>Model-rate validation for enterprise agent platform planning.</t>
  </si>
  <si>
    <t>Gemini API pricing</t>
  </si>
  <si>
    <t>https://ai.google.dev/gemini-api/docs/pricing</t>
  </si>
  <si>
    <t>Public token-rate reference for Gemini model families.</t>
  </si>
  <si>
    <t>Cloud Run pricing</t>
  </si>
  <si>
    <t>https://cloud.google.com/run/pricing</t>
  </si>
  <si>
    <t>Runtime unit-cost benchmark for services, jobs and worker pools.</t>
  </si>
  <si>
    <t>GKE pricing</t>
  </si>
  <si>
    <t>https://cloud.google.com/kubernetes-engine/pricing</t>
  </si>
  <si>
    <t>Cluster management / container runtime validation where GKE is selected.</t>
  </si>
  <si>
    <t>Google Cloud Pricing Calculator</t>
  </si>
  <si>
    <t>https://cloud.google.com/products/calculator</t>
  </si>
  <si>
    <t>Final account-specific validation route before commercial commitment.</t>
  </si>
  <si>
    <t>GSK AUC to Agentic AI and Skills Map</t>
  </si>
  <si>
    <t>One row per atomic use case: AUC -&gt; standard taxonomy name -&gt; agentic AI asset -&gt; comprehensive skills list -&gt; grounded GSK signal.</t>
  </si>
  <si>
    <t>Atomic use cases
136</t>
  </si>
  <si>
    <t>Analysed ticket base
1,066,644</t>
  </si>
  <si>
    <t>Mapped agents
9</t>
  </si>
  <si>
    <t>Taxonomy
Skill | Agent | Accelerator | Catalogue | Catalyst | Guardrail | Hybrid</t>
  </si>
  <si>
    <t>Use
Filter by tower, taxonomy, skill posture or priority.</t>
  </si>
  <si>
    <t>AUC ID</t>
  </si>
  <si>
    <t>Tower / track</t>
  </si>
  <si>
    <t>Usecase</t>
  </si>
  <si>
    <t>Outcome</t>
  </si>
  <si>
    <t>Agentic AI taxonomy</t>
  </si>
  <si>
    <t>Primary standard name</t>
  </si>
  <si>
    <t>Agentic AI asset name</t>
  </si>
  <si>
    <t>Skills list - comprehensive</t>
  </si>
  <si>
    <t>Skill posture</t>
  </si>
  <si>
    <t>Grounded GSK signal</t>
  </si>
  <si>
    <t>Priority</t>
  </si>
  <si>
    <t>Validation note</t>
  </si>
  <si>
    <t>GSK-AUC-001</t>
  </si>
  <si>
    <t>Hosting &amp; CloudOps</t>
  </si>
  <si>
    <t>Promote runbook into reusable agent action - Azure VM Unavailability</t>
  </si>
  <si>
    <t>Frequently repeated runbook work becomes selectable, governed and evidence-producing.</t>
  </si>
  <si>
    <t>Agent | Accelerator</t>
  </si>
  <si>
    <t>Accelerator</t>
  </si>
  <si>
    <t>Reusable Runbook Execution Agent accelerator</t>
  </si>
  <si>
    <t>EAI-052 gsk-ops-pipeline-monitor-triage; EAI-054 gsk-ops-incident-governance; EAI-074 Incident Knowledge Base Creator; EAI-095 gsk-tools-skills-evaluator; gsk-ops-runbook-fit-scorer; gsk-ops-runbook-execution-adapter; gsk-ops-remediation-rollback-check</t>
  </si>
  <si>
    <t>Known + adapted skill</t>
  </si>
  <si>
    <t>Top runbook: Azure VM Unavailability | 236,345 ticket signal; 236,345 manual/cluster; 55,147.2 effort hours; 64.6 similarity.</t>
  </si>
  <si>
    <t>Wave 1</t>
  </si>
  <si>
    <t>Directional GSK ticket/runbook signal. Confirm ownership, approved tool path and control tier with GSK SMEs before commitment.</t>
  </si>
  <si>
    <t>GSK-AUC-002</t>
  </si>
  <si>
    <t>Promote runbook into reusable agent action - Linux Service Restart</t>
  </si>
  <si>
    <t>Top runbook: Linux Service Restart | 40,646 ticket signal; 40,646 manual/cluster; 9,484.1 effort hours; 60 similarity.</t>
  </si>
  <si>
    <t>GSK-AUC-003</t>
  </si>
  <si>
    <t>Promote runbook into reusable agent action - Linux Hardware Replacement</t>
  </si>
  <si>
    <t>Top runbook: Linux Hardware Replacement | 34,820 ticket signal; 34,820 manual/cluster; 8,124.7 effort hours; 40.2 similarity.</t>
  </si>
  <si>
    <t>GSK-AUC-004</t>
  </si>
  <si>
    <t>Promote runbook into reusable agent action - Windows Service Restart</t>
  </si>
  <si>
    <t>Top runbook: Windows Service Restart | 29,018 ticket signal; 29,018 manual/cluster; 6,770.9 effort hours; 62.2 similarity.</t>
  </si>
  <si>
    <t>GSK-AUC-005</t>
  </si>
  <si>
    <t>Promote runbook into reusable agent action - VMware Hci Add Hard Disk</t>
  </si>
  <si>
    <t>Known GSK skill reuse</t>
  </si>
  <si>
    <t>Top runbook: VMware Hci Add Hard Disk | 8,609 ticket signal; 8,609 manual/cluster; 2,008.8 effort hours; 72.7 similarity.</t>
  </si>
  <si>
    <t>Wave 2</t>
  </si>
  <si>
    <t>GSK-AUC-006</t>
  </si>
  <si>
    <t>Promote runbook into reusable agent action - Linux OS Installation Post Checks</t>
  </si>
  <si>
    <t>Top runbook: Linux OS Installation Post Checks | 4,255 ticket signal; 4,255 manual/cluster; 992.8 effort hours; 34.6 similarity.</t>
  </si>
  <si>
    <t>GSK-AUC-007</t>
  </si>
  <si>
    <t>Promote runbook into reusable agent action - Podman_Export_Container</t>
  </si>
  <si>
    <t>Top runbook: Podman_Export_Container | 3,431 ticket signal; 3,431 manual/cluster; 800.6 effort hours; 62.8 similarity.</t>
  </si>
  <si>
    <t>GSK-AUC-008</t>
  </si>
  <si>
    <t>Promote runbook into reusable agent action - AWS Ecs Service Delete</t>
  </si>
  <si>
    <t>Top runbook: AWS Ecs Service Delete | 3,233 ticket signal; 3,233 manual/cluster; 754.4 effort hours; 38 similarity.</t>
  </si>
  <si>
    <t>GSK-AUC-009</t>
  </si>
  <si>
    <t>Promote runbook into reusable agent action - GCP Check Bucket Labels</t>
  </si>
  <si>
    <t>Top runbook: GCP Check Bucket Labels | 2,961 ticket signal; 2,961 manual/cluster; 690.9 effort hours; 41.7 similarity.</t>
  </si>
  <si>
    <t>GSK-AUC-010</t>
  </si>
  <si>
    <t>Promote runbook into reusable agent action - VMWare Horizon Fix Single VDI with Agent Unreachable</t>
  </si>
  <si>
    <t>Top runbook: VMWare Horizon Fix Single VDI with Agent Unreachable | 2,565 ticket signal; 2,565 manual/cluster; 598.5 effort hours; 36 similarity.</t>
  </si>
  <si>
    <t>GSK-AUC-011</t>
  </si>
  <si>
    <t>Promote runbook into reusable agent action - Windows Ping Failure</t>
  </si>
  <si>
    <t>Top runbook: Windows Ping Failure | 2,281 ticket signal; 2,281 manual/cluster; 532.2 effort hours; 49.3 similarity.</t>
  </si>
  <si>
    <t>GSK-AUC-012</t>
  </si>
  <si>
    <t>Promote runbook into reusable agent action - Linux Tuning Of OS Parameters</t>
  </si>
  <si>
    <t>Top runbook: Linux Tuning Of OS Parameters | 2,197 ticket signal; 2,197 manual/cluster; 512.6 effort hours; 38.1 similarity.</t>
  </si>
  <si>
    <t>GSK-AUC-013</t>
  </si>
  <si>
    <t>Promote runbook into reusable agent action - Kubernetes_Delete_Service_Object</t>
  </si>
  <si>
    <t>Top runbook: Kubernetes_Delete_Service_Object | 1,927 ticket signal; 1,927 manual/cluster; 449.6 effort hours; 56.7 similarity.</t>
  </si>
  <si>
    <t>GSK-AUC-014</t>
  </si>
  <si>
    <t>Storage, backup &amp; data ops</t>
  </si>
  <si>
    <t>Promote runbook into reusable agent action - Hadoop HDFS Download File From HDFS To Local</t>
  </si>
  <si>
    <t>Agent | Hybrid</t>
  </si>
  <si>
    <t>Hybrid</t>
  </si>
  <si>
    <t>Storage and Backup Recovery Agent hybrid control</t>
  </si>
  <si>
    <t>EAI-052 gsk-ops-pipeline-monitor-triage; EAI-054 gsk-ops-incident-governance; EAI-074 Incident Knowledge Base Creator; EAI-095 gsk-tools-skills-evaluator; gsk-ops-backup-recovery-adapter; gsk-ops-storage-capacity-risk-scorer</t>
  </si>
  <si>
    <t>Top runbook: Hadoop HDFS Download File From HDFS To Local | 39,366 ticket signal; 39,366 manual/cluster; 9,185.4 effort hours; 52.2 similarity.</t>
  </si>
  <si>
    <t>GSK-AUC-015</t>
  </si>
  <si>
    <t>Promote runbook into reusable agent action - MSSQL Windows Create DBMaintenance Plans</t>
  </si>
  <si>
    <t>Top runbook: MSSQL Windows Create DBMaintenance Plans | 4,271 ticket signal; 4,271 manual/cluster; 996.6 effort hours; 43.9 similarity.</t>
  </si>
  <si>
    <t>GSK-AUC-016</t>
  </si>
  <si>
    <t>Promote runbook into reusable agent action - MSSQL Create Login</t>
  </si>
  <si>
    <t>Top runbook: MSSQL Create Login | 4,235 ticket signal; 4,235 manual/cluster; 988.2 effort hours; 50.7 similarity.</t>
  </si>
  <si>
    <t>GSK-AUC-017</t>
  </si>
  <si>
    <t>Promote runbook into reusable agent action - Unity Get Health Check of Unity Box</t>
  </si>
  <si>
    <t>Top runbook: Unity Get Health Check of Unity Box | 3,085 ticket signal; 3,085 manual/cluster; 719.8 effort hours; 35.5 similarity.</t>
  </si>
  <si>
    <t>GSK-AUC-018</t>
  </si>
  <si>
    <t>Promote runbook into reusable agent action - MSSQL Disable All DB Constraints</t>
  </si>
  <si>
    <t>Top runbook: MSSQL Disable All DB Constraints | 1,987 ticket signal; 1,987 manual/cluster; 463.6 effort hours; 56 similarity.</t>
  </si>
  <si>
    <t>GSK-AUC-019</t>
  </si>
  <si>
    <t>Discover net-new skill candidate - Database Consultancy</t>
  </si>
  <si>
    <t>High-volume gaps without a usable runbook are routed to skill design, ownership and ADLC gates.</t>
  </si>
  <si>
    <t>Net-new / major adaptation</t>
  </si>
  <si>
    <t>No-runbook gap: Database Consultancy | 2,430 ticket signal; 2,430 manual/cluster; 567 effort hours; 0 similarity.</t>
  </si>
  <si>
    <t>GSK-AUC-020</t>
  </si>
  <si>
    <t>Discover net-new skill candidate - Retirement in CMDB</t>
  </si>
  <si>
    <t>No-runbook gap: Retirement in CMDB | 581 ticket signal; 581 manual/cluster; 135.6 effort hours; 0 similarity.</t>
  </si>
  <si>
    <t>GSK-AUC-021</t>
  </si>
  <si>
    <t>Discover net-new skill candidate - SQL Decommission</t>
  </si>
  <si>
    <t>No-runbook gap: SQL Decommission | 471 ticket signal; 471 manual/cluster; 109.9 effort hours; 0 similarity.</t>
  </si>
  <si>
    <t>GSK-AUC-022</t>
  </si>
  <si>
    <t>Discover net-new skill candidate - Reclaim Storage</t>
  </si>
  <si>
    <t>No-runbook gap: Reclaim Storage | 422 ticket signal; 422 manual/cluster; 98.5 effort hours; 0 similarity.</t>
  </si>
  <si>
    <t>GSK-AUC-023</t>
  </si>
  <si>
    <t>Promote or retire knowledge based on reuse - Known-error promotion and retirement</t>
  </si>
  <si>
    <t>Useful resolutions become reusable knowledge and stale content is retired.</t>
  </si>
  <si>
    <t>Governance / guardrail skill</t>
  </si>
  <si>
    <t>Governance control: Known-error promotion and retirement | 0 ticket signal; 0 manual/cluster; 0 effort hours; SME validation.</t>
  </si>
  <si>
    <t>GSK-AUC-024</t>
  </si>
  <si>
    <t>IAM &amp; endpoint access</t>
  </si>
  <si>
    <t>Classify demand and confirm owner - Tech Service Request</t>
  </si>
  <si>
    <t>Request or incident lands with the right resolver, priority, ownership and evidence path.</t>
  </si>
  <si>
    <t>Agent | Guardrail</t>
  </si>
  <si>
    <t>Guardrail</t>
  </si>
  <si>
    <t>IAM and Access Fulfilment Agent guardrail</t>
  </si>
  <si>
    <t>EAI-054 gsk-ops-incident-governance; EAI-075 Incident Knowledge Base Augmentor; EAI-076 eai-eng-requirements-systhesis; EAI-077 eai-eng-urs-validator; EAI-095 gsk-tools-skills-evaluator; gsk-ops-iam-entitlement-intake; gsk-ops-access-policy-fit-check; gsk-ops-privileged-access-approval-router</t>
  </si>
  <si>
    <t>SME validation required</t>
  </si>
  <si>
    <t>Manual driver: Tech Service Request | 15,348 ticket signal; 15,348 manual/cluster; 141.3 effort hours; SME validation.</t>
  </si>
  <si>
    <t>GSK-AUC-025</t>
  </si>
  <si>
    <t>Classify demand and confirm owner - File Share Access</t>
  </si>
  <si>
    <t>Manual driver: File Share Access | 6,689 ticket signal; 6,689 manual/cluster; 82 effort hours; SME validation.</t>
  </si>
  <si>
    <t>GSK-AUC-026</t>
  </si>
  <si>
    <t>Execute guided fulfilment or remediation - Tech Service Request</t>
  </si>
  <si>
    <t>Manual tower work is converted into approved fulfilment, remediation or handoff steps.</t>
  </si>
  <si>
    <t>IAM and Access Fulfilment Agent accelerator</t>
  </si>
  <si>
    <t>Manual driver - execute: Tech Service Request | 15,348 ticket signal; 15,348 manual/cluster; 141.3 effort hours; SME validation.</t>
  </si>
  <si>
    <t>GSK-AUC-027</t>
  </si>
  <si>
    <t>Execute guided fulfilment or remediation - File Share Access</t>
  </si>
  <si>
    <t>Manual driver - execute: File Share Access | 6,689 ticket signal; 6,689 manual/cluster; 82 effort hours; SME validation.</t>
  </si>
  <si>
    <t>GSK-AUC-028</t>
  </si>
  <si>
    <t>Capture closure evidence and promote learning - Tech Service Request</t>
  </si>
  <si>
    <t>Closure notes, control proof and reusable knowledge are created for the next similar ticket.</t>
  </si>
  <si>
    <t>Manual driver - evidence: Tech Service Request | 15,348 ticket signal; 15,348 manual/cluster; 141.3 effort hours; SME validation.</t>
  </si>
  <si>
    <t>GSK-AUC-029</t>
  </si>
  <si>
    <t>Capture closure evidence and promote learning - File Share Access</t>
  </si>
  <si>
    <t>Manual driver - evidence: File Share Access | 6,689 ticket signal; 6,689 manual/cluster; 82 effort hours; SME validation.</t>
  </si>
  <si>
    <t>GSK-AUC-030</t>
  </si>
  <si>
    <t>Promote runbook into reusable agent action - AS400 User Unlock</t>
  </si>
  <si>
    <t>Top runbook: AS400 User Unlock | 3,805 ticket signal; 3,805 manual/cluster; 887.8 effort hours; 57.9 similarity.</t>
  </si>
  <si>
    <t>GSK-AUC-031</t>
  </si>
  <si>
    <t>Promote runbook into reusable agent action - SailPoint Password Reset</t>
  </si>
  <si>
    <t>Top runbook: SailPoint Password Reset | 3,424 ticket signal; 3,424 manual/cluster; 798.9 effort hours; 73.7 similarity.</t>
  </si>
  <si>
    <t>GSK-AUC-032</t>
  </si>
  <si>
    <t>Promote runbook into reusable agent action - Update User Phone Number in IAM Product ( Saviynt)</t>
  </si>
  <si>
    <t>Top runbook: Update User Phone Number in IAM Product ( Saviynt) | 3,322 ticket signal; 3,322 manual/cluster; 775.1 effort hours; 55.8 similarity.</t>
  </si>
  <si>
    <t>GSK-AUC-033</t>
  </si>
  <si>
    <t>Promote runbook into reusable agent action - MongoDB_Delete_User</t>
  </si>
  <si>
    <t>Top runbook: MongoDB_Delete_User | 2,372 ticket signal; 2,372 manual/cluster; 553.5 effort hours; 62.5 similarity.</t>
  </si>
  <si>
    <t>GSK-AUC-034</t>
  </si>
  <si>
    <t>Promote runbook into reusable agent action - Windows Install Remote Access Management Tools</t>
  </si>
  <si>
    <t>Top runbook: Windows Install Remote Access Management Tools | 2,292 ticket signal; 2,292 manual/cluster; 534.8 effort hours; 43.1 similarity.</t>
  </si>
  <si>
    <t>GSK-AUC-035</t>
  </si>
  <si>
    <t>Create adaptation candidate for weak-fit pattern - Complete Customer Hardware Kit (bundle accessories/guide/etc.)</t>
  </si>
  <si>
    <t>GSK avoids forcing a weak automation match and creates a validated adaptation path.</t>
  </si>
  <si>
    <t>Low-similarity gap: Complete Customer Hardware Kit (bundle accessories/guide/etc.) | 34,620 ticket signal; 34,620 manual/cluster; 8,078 effort hours; 35 similarity.</t>
  </si>
  <si>
    <t>GSK-AUC-036</t>
  </si>
  <si>
    <t>Create adaptation candidate for weak-fit pattern - Privileged Access Management Service Request : Please review thi...</t>
  </si>
  <si>
    <t>Low-similarity gap: Privileged Access Management Service Request : Please review this task for... | 3,228 ticket signal; 3,228 manual/cluster; 753.2 effort hours; 43 similarity.</t>
  </si>
  <si>
    <t>GSK-AUC-037</t>
  </si>
  <si>
    <t>Create adaptation candidate for weak-fit pattern - REQUEST ID: VMDecomm_20251218231710_dresagtw16001 REVOKE PRIVILE...</t>
  </si>
  <si>
    <t>Low-similarity gap: REQUEST ID: VMDecomm_20251218231710_dresagtw16001 REVOKE PRIVILEDGED ACCESS | 2,497 ticket signal; 2,497 manual/cluster; 582.6 effort hours; 46 similarity.</t>
  </si>
  <si>
    <t>GSK-AUC-038</t>
  </si>
  <si>
    <t>Create adaptation candidate for weak-fit pattern - Schema/Account Management in accordance to VQD-WI-016226</t>
  </si>
  <si>
    <t>Low-similarity gap: Schema/Account Management in accordance to VQD-WI-016226 | 2,054 ticket signal; 2,054 manual/cluster; 479.3 effort hours; 38 similarity.</t>
  </si>
  <si>
    <t>GSK-AUC-039</t>
  </si>
  <si>
    <t>Create adaptation candidate for weak-fit pattern - SSO Consultation</t>
  </si>
  <si>
    <t>Low-similarity gap: SSO Consultation | 1,559 ticket signal; 1,559 manual/cluster; 363.8 effort hours; 0 similarity.</t>
  </si>
  <si>
    <t>GSK-AUC-040</t>
  </si>
  <si>
    <t>Discover net-new skill candidate - SSO Consultation</t>
  </si>
  <si>
    <t>No-runbook gap: SSO Consultation | 1,559 ticket signal; 1,559 manual/cluster; 363.8 effort hours; 0 similarity.</t>
  </si>
  <si>
    <t>GSK-AUC-041</t>
  </si>
  <si>
    <t>Escalate privileged access exceptions - Privileged access exception handling</t>
  </si>
  <si>
    <t>Access automation preserves policy, approver and audit requirements.</t>
  </si>
  <si>
    <t>Governance control: Privileged access exception handling | 0 ticket signal; 0 manual/cluster; 0 effort hours; SME validation.</t>
  </si>
  <si>
    <t>GSK-AUC-042</t>
  </si>
  <si>
    <t>Classify demand and confirm owner - Perimeter Change Consultancy (Change Implementation)</t>
  </si>
  <si>
    <t>Network Event Response Agent hybrid control</t>
  </si>
  <si>
    <t>EAI-052 gsk-ops-pipeline-monitor-triage; EAI-054 gsk-ops-incident-governance; EAI-074 Incident Knowledge Base Creator; EAI-095 gsk-tools-skills-evaluator; gsk-ops-network-interface-remediation; gsk-ops-firewall-dns-change-validator</t>
  </si>
  <si>
    <t>Manual driver: Perimeter Change Consultancy (Change Implementation) | 4,332 ticket signal; 4,332 manual/cluster; 223.7 effort hours; SME validation.</t>
  </si>
  <si>
    <t>GSK-AUC-043</t>
  </si>
  <si>
    <t>Execute guided fulfilment or remediation - Perimeter Change Consultancy (Change Implementation)</t>
  </si>
  <si>
    <t>Network Event Response Agent accelerator</t>
  </si>
  <si>
    <t>Manual driver - execute: Perimeter Change Consultancy (Change Implementation) | 4,332 ticket signal; 4,332 manual/cluster; 223.7 effort hours; SME validation.</t>
  </si>
  <si>
    <t>GSK-AUC-044</t>
  </si>
  <si>
    <t>Capture closure evidence and promote learning - Perimeter Change Consultancy (Change Implementation)</t>
  </si>
  <si>
    <t>Manual driver - evidence: Perimeter Change Consultancy (Change Implementation) | 4,332 ticket signal; 4,332 manual/cluster; 223.7 effort hours; SME validation.</t>
  </si>
  <si>
    <t>GSK-AUC-045</t>
  </si>
  <si>
    <t>Promote runbook into reusable agent action - Cisco_SDWan_Add_User</t>
  </si>
  <si>
    <t>Top runbook: Cisco_SDWan_Add_User | 35,875 ticket signal; 35,875 manual/cluster; 8,370.8 effort hours; 56.2 similarity.</t>
  </si>
  <si>
    <t>GSK-AUC-046</t>
  </si>
  <si>
    <t>Promote runbook into reusable agent action - Network Interface Down</t>
  </si>
  <si>
    <t>Top runbook: Network Interface Down | 9,534 ticket signal; 9,534 manual/cluster; 2,224.6 effort hours; 34.9 similarity.</t>
  </si>
  <si>
    <t>GSK-AUC-047</t>
  </si>
  <si>
    <t>Promote runbook into reusable agent action - F5 BIGIP Diff Running Config Against Provided Config</t>
  </si>
  <si>
    <t>Top runbook: F5 BIGIP Diff Running Config Against Provided Config | 6,040 ticket signal; 6,040 manual/cluster; 1,409.3 effort hours; 51.4 similarity.</t>
  </si>
  <si>
    <t>GSK-AUC-048</t>
  </si>
  <si>
    <t>Promote runbook into reusable agent action - F5 BIGIP Delete LTM Virtual Server GTM WideIP</t>
  </si>
  <si>
    <t>Top runbook: F5 BIGIP Delete LTM Virtual Server GTM WideIP | 4,379 ticket signal; 4,379 manual/cluster; 1,021.8 effort hours; 43.5 similarity.</t>
  </si>
  <si>
    <t>GSK-AUC-049</t>
  </si>
  <si>
    <t>Promote runbook into reusable agent action - PA_Fetch_Attached_Interfaces</t>
  </si>
  <si>
    <t>Top runbook: PA_Fetch_Attached_Interfaces | 3,279 ticket signal; 3,279 manual/cluster; 765.1 effort hours; 52 similarity.</t>
  </si>
  <si>
    <t>GSK-AUC-050</t>
  </si>
  <si>
    <t>Promote runbook into reusable agent action - AWS Restrict Security Groups For Uncommon Ports</t>
  </si>
  <si>
    <t>Top runbook: AWS Restrict Security Groups For Uncommon Ports | 3,051 ticket signal; 3,051 manual/cluster; 711.9 effort hours; 58.8 similarity.</t>
  </si>
  <si>
    <t>GSK-AUC-051</t>
  </si>
  <si>
    <t>Promote runbook into reusable agent action - PA_Create_Security_Profile</t>
  </si>
  <si>
    <t>Top runbook: PA_Create_Security_Profile | 2,937 ticket signal; 2,937 manual/cluster; 685.3 effort hours; 56.1 similarity.</t>
  </si>
  <si>
    <t>GSK-AUC-052</t>
  </si>
  <si>
    <t>Promote runbook into reusable agent action - VMware Hci Add Network Adaptor</t>
  </si>
  <si>
    <t>Top runbook: VMware Hci Add Network Adaptor | 2,862 ticket signal; 2,862 manual/cluster; 667.8 effort hours; 49.7 similarity.</t>
  </si>
  <si>
    <t>GSK-AUC-053</t>
  </si>
  <si>
    <t>Promote runbook into reusable agent action - PA_Determine_HA_Status</t>
  </si>
  <si>
    <t>Top runbook: PA_Determine_HA_Status | 2,105 ticket signal; 2,105 manual/cluster; 491.2 effort hours; 59 similarity.</t>
  </si>
  <si>
    <t>GSK-AUC-054</t>
  </si>
  <si>
    <t>Promote runbook into reusable agent action - Fortigate_Create_VLAN_Interface</t>
  </si>
  <si>
    <t>Top runbook: Fortigate_Create_VLAN_Interface | 1,971 ticket signal; 1,971 manual/cluster; 459.9 effort hours; 50.5 similarity.</t>
  </si>
  <si>
    <t>GSK-AUC-055</t>
  </si>
  <si>
    <t>Promote runbook into reusable agent action - F5 Create Snmp Dcs Monitor</t>
  </si>
  <si>
    <t>Top runbook: F5 Create Snmp Dcs Monitor | 1,762 ticket signal; 1,762 manual/cluster; 411.1 effort hours; 50.7 similarity.</t>
  </si>
  <si>
    <t>GSK-AUC-056</t>
  </si>
  <si>
    <t>Create adaptation candidate for weak-fit pattern - Change Implementation</t>
  </si>
  <si>
    <t>Low-similarity gap: Change Implementation | 2,499 ticket signal; 2,499 manual/cluster; 583.1 effort hours; 47 similarity.</t>
  </si>
  <si>
    <t>GSK-AUC-057</t>
  </si>
  <si>
    <t>Observability &amp; AIOps</t>
  </si>
  <si>
    <t>Classify demand and confirm owner - Asset has reboot event (IE1SXSMBAPPC01 has reboot event)</t>
  </si>
  <si>
    <t>Incident Triage and RCA Agent hybrid control</t>
  </si>
  <si>
    <t>EAI-052 gsk-ops-pipeline-monitor-triage; EAI-054 gsk-ops-incident-governance; EAI-074 Incident Knowledge Base Creator; EAI-075 Incident Knowledge Base Augmentor; gsk-ops-alert-noise-clusterer; gsk-ops-asset-health-summarizer</t>
  </si>
  <si>
    <t>Manual driver: asset has reboot event (IE1SXSMBAPPC01 has reboot event) | 45,338 ticket signal; 45,338 manual/cluster; 5.6 effort hours; SME validation.</t>
  </si>
  <si>
    <t>GSK-AUC-058</t>
  </si>
  <si>
    <t>Classify demand and confirm owner - Asset is down or unresponsive please verify (SG2SXSMBAPPC01 is down and/or unre...</t>
  </si>
  <si>
    <t>Manual driver: asset is down and or unresponsive please verify (SG2SXSMBAPPC01 is down and... | 26,940 ticket signal; 26,940 manual/cluster; 10.7 effort hours; SME validation.</t>
  </si>
  <si>
    <t>GSK-AUC-059</t>
  </si>
  <si>
    <t>Classify demand and confirm owner - Asset usage threshold (WAVOSAWN01304Memory Usage Threshold)</t>
  </si>
  <si>
    <t>Manual driver: asset usage threshold (WAVOSAWN01304Memory Usage Threshold) | 13,677 ticket signal; 13,677 manual/cluster; 2.8 effort hours; SME validation.</t>
  </si>
  <si>
    <t>GSK-AUC-060</t>
  </si>
  <si>
    <t>Classify demand and confirm owner - Asset cpu threshold (WAVOSAWN01304 CPU Threshold)</t>
  </si>
  <si>
    <t>Manual driver: asset cpu threshold (WAVOSAWN01304 CPU Threshold) | 11,377 ticket signal; 11,377 manual/cluster; 3.6 effort hours; SME validation.</t>
  </si>
  <si>
    <t>GSK-AUC-061</t>
  </si>
  <si>
    <t>Classify demand and confirm owner - Asset has reboot event (abbsawn00001 has reboot event.)</t>
  </si>
  <si>
    <t>Manual driver: asset has reboot event (abbsawn00001 has reboot event.) | 6,657 ticket signal; 6,657 manual/cluster; 1.8 effort hours; SME validation.</t>
  </si>
  <si>
    <t>GSK-AUC-062</t>
  </si>
  <si>
    <t>Classify demand and confirm owner - Asset service is in faulty state (araosawn00009 Service is in faulty state)</t>
  </si>
  <si>
    <t>Manual driver: asset service is in faulty state (araosawn00009 Service is in faulty state) | 5,428 ticket signal; 5,428 manual/cluster; 11.8 effort hours; SME validation.</t>
  </si>
  <si>
    <t>GSK-AUC-063</t>
  </si>
  <si>
    <t>Execute guided fulfilment or remediation - Asset has reboot event (IE1SXSMBAPPC01 has reboot event)</t>
  </si>
  <si>
    <t>Incident Triage and RCA Agent accelerator</t>
  </si>
  <si>
    <t>Manual driver - execute: asset has reboot event (IE1SXSMBAPPC01 has reboot event) | 45,338 ticket signal; 45,338 manual/cluster; 5.6 effort hours; SME validation.</t>
  </si>
  <si>
    <t>GSK-AUC-064</t>
  </si>
  <si>
    <t>Execute guided fulfilment or remediation - Asset is down or unresponsive please verify (SG2SXSMBAPPC01 is down and/...</t>
  </si>
  <si>
    <t>Manual driver - execute: asset is down and or unresponsive please verify (SG2SXSMBAPPC01 is down and... | 26,940 ticket signal; 26,940 manual/cluster; 10.7 effort hours; SME validation.</t>
  </si>
  <si>
    <t>GSK-AUC-065</t>
  </si>
  <si>
    <t>Execute guided fulfilment or remediation - Asset usage threshold (WAVOSAWN01304Memory Usage Threshold)</t>
  </si>
  <si>
    <t>Manual driver - execute: asset usage threshold (WAVOSAWN01304Memory Usage Threshold) | 13,677 ticket signal; 13,677 manual/cluster; 2.8 effort hours; SME validation.</t>
  </si>
  <si>
    <t>GSK-AUC-066</t>
  </si>
  <si>
    <t>Execute guided fulfilment or remediation - Asset cpu threshold (WAVOSAWN01304 CPU Threshold)</t>
  </si>
  <si>
    <t>Manual driver - execute: asset cpu threshold (WAVOSAWN01304 CPU Threshold) | 11,377 ticket signal; 11,377 manual/cluster; 3.6 effort hours; SME validation.</t>
  </si>
  <si>
    <t>GSK-AUC-067</t>
  </si>
  <si>
    <t>Execute guided fulfilment or remediation - Asset has reboot event (abbsawn00001 has reboot event.)</t>
  </si>
  <si>
    <t>Manual driver - execute: asset has reboot event (abbsawn00001 has reboot event.) | 6,657 ticket signal; 6,657 manual/cluster; 1.8 effort hours; SME validation.</t>
  </si>
  <si>
    <t>GSK-AUC-068</t>
  </si>
  <si>
    <t>Execute guided fulfilment or remediation - Asset service is in faulty state (araosawn00009 Service is in faulty state)</t>
  </si>
  <si>
    <t>Manual driver - execute: asset service is in faulty state (araosawn00009 Service is in faulty state) | 5,428 ticket signal; 5,428 manual/cluster; 11.8 effort hours; SME validation.</t>
  </si>
  <si>
    <t>GSK-AUC-069</t>
  </si>
  <si>
    <t>Capture closure evidence and promote learning - Asset has reboot event (IE1SXSMBAPPC01 has reboot event)</t>
  </si>
  <si>
    <t>Manual driver - evidence: asset has reboot event (IE1SXSMBAPPC01 has reboot event) | 45,338 ticket signal; 45,338 manual/cluster; 5.6 effort hours; SME validation.</t>
  </si>
  <si>
    <t>GSK-AUC-070</t>
  </si>
  <si>
    <t>Capture closure evidence and promote learning - Asset is down or unresponsive please verify (SG2SXSMBAPPC01 is down...</t>
  </si>
  <si>
    <t>Manual driver - evidence: asset is down and or unresponsive please verify (SG2SXSMBAPPC01 is down and... | 26,940 ticket signal; 26,940 manual/cluster; 10.7 effort hours; SME validation.</t>
  </si>
  <si>
    <t>GSK-AUC-071</t>
  </si>
  <si>
    <t>Capture closure evidence and promote learning - Asset usage threshold (WAVOSAWN01304Memory Usage Threshold)</t>
  </si>
  <si>
    <t>Manual driver - evidence: asset usage threshold (WAVOSAWN01304Memory Usage Threshold) | 13,677 ticket signal; 13,677 manual/cluster; 2.8 effort hours; SME validation.</t>
  </si>
  <si>
    <t>GSK-AUC-072</t>
  </si>
  <si>
    <t>Capture closure evidence and promote learning - Asset cpu threshold (WAVOSAWN01304 CPU Threshold)</t>
  </si>
  <si>
    <t>Manual driver - evidence: asset cpu threshold (WAVOSAWN01304 CPU Threshold) | 11,377 ticket signal; 11,377 manual/cluster; 3.6 effort hours; SME validation.</t>
  </si>
  <si>
    <t>GSK-AUC-073</t>
  </si>
  <si>
    <t>Capture closure evidence and promote learning - Asset has reboot event (abbsawn00001 has reboot event.)</t>
  </si>
  <si>
    <t>Manual driver - evidence: asset has reboot event (abbsawn00001 has reboot event.) | 6,657 ticket signal; 6,657 manual/cluster; 1.8 effort hours; SME validation.</t>
  </si>
  <si>
    <t>GSK-AUC-074</t>
  </si>
  <si>
    <t>Capture closure evidence and promote learning - Asset service is in faulty state (araosawn00009 Service is in fault...</t>
  </si>
  <si>
    <t>Manual driver - evidence: asset service is in faulty state (araosawn00009 Service is in faulty state) | 5,428 ticket signal; 5,428 manual/cluster; 11.8 effort hours; SME validation.</t>
  </si>
  <si>
    <t>GSK-AUC-075</t>
  </si>
  <si>
    <t>Promote runbook into reusable agent action - Windows Write Application Event Log</t>
  </si>
  <si>
    <t>Top runbook: Windows Write Application Event Log | 46,491 ticket signal; 46,491 manual/cluster; 10,847.9 effort hours; 57.2 similarity.</t>
  </si>
  <si>
    <t>GSK-AUC-076</t>
  </si>
  <si>
    <t>Promote runbook into reusable agent action - Kubernetes_Scale_Down_Deployment</t>
  </si>
  <si>
    <t>Top runbook: Kubernetes_Scale_Down_Deployment | 28,935 ticket signal; 28,935 manual/cluster; 6,751.5 effort hours; 38.1 similarity.</t>
  </si>
  <si>
    <t>GSK-AUC-077</t>
  </si>
  <si>
    <t>Promote runbook into reusable agent action - Linux High Memory Utilization</t>
  </si>
  <si>
    <t>Top runbook: Linux High Memory Utilization | 16,412 ticket signal; 16,412 manual/cluster; 3,829.5 effort hours; 64.1 similarity.</t>
  </si>
  <si>
    <t>GSK-AUC-078</t>
  </si>
  <si>
    <t>Promote runbook into reusable agent action - Linux High CPU Utilization</t>
  </si>
  <si>
    <t>Top runbook: Linux High CPU Utilization | 2,765 ticket signal; 2,765 manual/cluster; 645.2 effort hours; 76.7 similarity.</t>
  </si>
  <si>
    <t>GSK-AUC-079</t>
  </si>
  <si>
    <t>Promote runbook into reusable agent action - AWS Create Cloudwatch Event Rule</t>
  </si>
  <si>
    <t>Top runbook: AWS Create Cloudwatch Event Rule | 1,934 ticket signal; 1,934 manual/cluster; 451.3 effort hours; 12.5 similarity.</t>
  </si>
  <si>
    <t>GSK-AUC-080</t>
  </si>
  <si>
    <t>Discover net-new skill candidate - Wavsalxhrv001 CPU Threshold</t>
  </si>
  <si>
    <t>No-runbook gap: wavsalxhrv001 CPU Threshold | 11,477 ticket signal; 11,477 manual/cluster; 2,678 effort hours; 0 similarity.</t>
  </si>
  <si>
    <t>GSK-AUC-081</t>
  </si>
  <si>
    <t>Service desk &amp; GSO</t>
  </si>
  <si>
    <t>Classify demand and confirm owner - New Laptop / Computer Request (Assign hardware kit to user and add any requeste...</t>
  </si>
  <si>
    <t>Agent | Catalyst</t>
  </si>
  <si>
    <t>Catalyst</t>
  </si>
  <si>
    <t>GSO Device Fulfilment Agent catalyst</t>
  </si>
  <si>
    <t>EAI-045 eai-eng-sdlc-create-backlog; EAI-074 Incident Knowledge Base Creator; EAI-094 gsk-dev-groom-backlog; EAI-204 eai-eng-ops-backlog-prioritizer; gsk-ops-device-fulfilment-planner; gsk-ops-stock-localization-check; gsk-ops-logistics-handoff-generator</t>
  </si>
  <si>
    <t>Manual driver: New Laptop / Computer Request (Assign hardware kit to user and add any requ... | 103,386 ticket signal; 103,386 manual/cluster; 74.9 effort hours; SME validation.</t>
  </si>
  <si>
    <t>GSK-AUC-082</t>
  </si>
  <si>
    <t>Classify demand and confirm owner - Computer / iPad Return (Add ship box using Non-UPS)</t>
  </si>
  <si>
    <t>Manual driver: Computer / iPad Return (Add ship box using Non-UPS) | 14,182 ticket signal; 14,182 manual/cluster; 192.6 effort hours; SME validation.</t>
  </si>
  <si>
    <t>GSK-AUC-083</t>
  </si>
  <si>
    <t>Classify demand and confirm owner - New iPad Request (Assign hardware kit to user and add any requested consumables)</t>
  </si>
  <si>
    <t>Manual driver: New iPad Request (Assign hardware kit to user and add any requested consuma... | 10,860 ticket signal; 10,860 manual/cluster; 82.7 effort hours; SME validation.</t>
  </si>
  <si>
    <t>GSK-AUC-084</t>
  </si>
  <si>
    <t>Classify demand and confirm owner - Node is down zero hold down on device asset (Node is DOWN, Zero hold down on De...</t>
  </si>
  <si>
    <t>Manual driver: node is down zero hold down on device asset (Node is DOWN, Zero hold down o... | 5,527 ticket signal; 5,527 manual/cluster; 10.4 effort hours; SME validation.</t>
  </si>
  <si>
    <t>GSK-AUC-085</t>
  </si>
  <si>
    <t>Classify demand and confirm owner - VA&amp;D Engagement (Adding user CFV41018 to AD Group CTX_RAAC4_RAD_GSK_ARD_IE1 Fai...</t>
  </si>
  <si>
    <t>Manual driver: VA&amp;D Engagement (Adding user CFV41018 to AD Group CTX_RAAC4_RAD_GSK_ARD_IE1... | 5,134 ticket signal; 5,134 manual/cluster; 68.9 effort hours; SME validation.</t>
  </si>
  <si>
    <t>GSK-AUC-086</t>
  </si>
  <si>
    <t>Classify demand and confirm owner - Global Tech Site Ops Support</t>
  </si>
  <si>
    <t>Manual driver: Global Tech Site Ops Support | 4,265 ticket signal; 4,265 manual/cluster; 284.3 effort hours; SME validation.</t>
  </si>
  <si>
    <t>GSK-AUC-087</t>
  </si>
  <si>
    <t>Execute guided fulfilment or remediation - New Laptop / Computer Request (Assign hardware kit to user and add any r...</t>
  </si>
  <si>
    <t>GSO Device Fulfilment Agent accelerator</t>
  </si>
  <si>
    <t>Manual driver - execute: New Laptop / Computer Request (Assign hardware kit to user and add any requ... | 103,386 ticket signal; 103,386 manual/cluster; 74.9 effort hours; SME validation.</t>
  </si>
  <si>
    <t>GSK-AUC-088</t>
  </si>
  <si>
    <t>Execute guided fulfilment or remediation - Computer / iPad Return (Add ship box using Non-UPS)</t>
  </si>
  <si>
    <t>Manual driver - execute: Computer / iPad Return (Add ship box using Non-UPS) | 14,182 ticket signal; 14,182 manual/cluster; 192.6 effort hours; SME validation.</t>
  </si>
  <si>
    <t>GSK-AUC-089</t>
  </si>
  <si>
    <t>Execute guided fulfilment or remediation - New iPad Request (Assign hardware kit to user and add any requested cons...</t>
  </si>
  <si>
    <t>Manual driver - execute: New iPad Request (Assign hardware kit to user and add any requested consuma... | 10,860 ticket signal; 10,860 manual/cluster; 82.7 effort hours; SME validation.</t>
  </si>
  <si>
    <t>GSK-AUC-090</t>
  </si>
  <si>
    <t>Execute guided fulfilment or remediation - Node is down zero hold down on device asset (Node is DOWN, Zero hold dow...</t>
  </si>
  <si>
    <t>Manual driver - execute: node is down zero hold down on device asset (Node is DOWN, Zero hold down o... | 5,527 ticket signal; 5,527 manual/cluster; 10.4 effort hours; SME validation.</t>
  </si>
  <si>
    <t>GSK-AUC-091</t>
  </si>
  <si>
    <t>Execute guided fulfilment or remediation - VA&amp;D Engagement (Adding user CFV41018 to AD Group CTX_RAAC4_RAD_GSK_ARD_...</t>
  </si>
  <si>
    <t>Manual driver - execute: VA&amp;D Engagement (Adding user CFV41018 to AD Group CTX_RAAC4_RAD_GSK_ARD_IE1... | 5,134 ticket signal; 5,134 manual/cluster; 68.9 effort hours; SME validation.</t>
  </si>
  <si>
    <t>GSK-AUC-092</t>
  </si>
  <si>
    <t>Execute guided fulfilment or remediation - Global Tech Site Ops Support</t>
  </si>
  <si>
    <t>Manual driver - execute: Global Tech Site Ops Support | 4,265 ticket signal; 4,265 manual/cluster; 284.3 effort hours; SME validation.</t>
  </si>
  <si>
    <t>GSK-AUC-093</t>
  </si>
  <si>
    <t>Capture closure evidence and promote learning - New Laptop / Computer Request (Assign hardware kit to user and add...</t>
  </si>
  <si>
    <t>Manual driver - evidence: New Laptop / Computer Request (Assign hardware kit to user and add any requ... | 103,386 ticket signal; 103,386 manual/cluster; 74.9 effort hours; SME validation.</t>
  </si>
  <si>
    <t>GSK-AUC-094</t>
  </si>
  <si>
    <t>Capture closure evidence and promote learning - Computer / iPad Return (Add ship box using Non-UPS)</t>
  </si>
  <si>
    <t>Manual driver - evidence: Computer / iPad Return (Add ship box using Non-UPS) | 14,182 ticket signal; 14,182 manual/cluster; 192.6 effort hours; SME validation.</t>
  </si>
  <si>
    <t>GSK-AUC-095</t>
  </si>
  <si>
    <t>Capture closure evidence and promote learning - New iPad Request (Assign hardware kit to user and add any requested...</t>
  </si>
  <si>
    <t>Manual driver - evidence: New iPad Request (Assign hardware kit to user and add any requested consuma... | 10,860 ticket signal; 10,860 manual/cluster; 82.7 effort hours; SME validation.</t>
  </si>
  <si>
    <t>GSK-AUC-096</t>
  </si>
  <si>
    <t>Capture closure evidence and promote learning - Node is down zero hold down on device asset (Node is DOWN, Zero hol...</t>
  </si>
  <si>
    <t>Manual driver - evidence: node is down zero hold down on device asset (Node is DOWN, Zero hold down o... | 5,527 ticket signal; 5,527 manual/cluster; 10.4 effort hours; SME validation.</t>
  </si>
  <si>
    <t>GSK-AUC-097</t>
  </si>
  <si>
    <t>Capture closure evidence and promote learning - VA&amp;D Engagement (Adding user CFV41018 to AD Group CTX_RAAC4_RAD_GSK...</t>
  </si>
  <si>
    <t>Manual driver - evidence: VA&amp;D Engagement (Adding user CFV41018 to AD Group CTX_RAAC4_RAD_GSK_ARD_IE1... | 5,134 ticket signal; 5,134 manual/cluster; 68.9 effort hours; SME validation.</t>
  </si>
  <si>
    <t>GSK-AUC-098</t>
  </si>
  <si>
    <t>Capture closure evidence and promote learning - Global Tech Site Ops Support</t>
  </si>
  <si>
    <t>Manual driver - evidence: Global Tech Site Ops Support | 4,265 ticket signal; 4,265 manual/cluster; 284.3 effort hours; SME validation.</t>
  </si>
  <si>
    <t>GSK-AUC-099</t>
  </si>
  <si>
    <t>Create adaptation candidate for weak-fit pattern - Verify local stock</t>
  </si>
  <si>
    <t>Low-similarity gap: Verify local stock | 39,352 ticket signal; 39,352 manual/cluster; 9,182.1 effort hours; 47 similarity.</t>
  </si>
  <si>
    <t>GSK-AUC-100</t>
  </si>
  <si>
    <t>Create adaptation candidate for weak-fit pattern - Localize/Personalize device</t>
  </si>
  <si>
    <t>Low-similarity gap: Localize/Personalize device | 35,423 ticket signal; 35,423 manual/cluster; 8,265.4 effort hours; 0 similarity.</t>
  </si>
  <si>
    <t>GSK-AUC-101</t>
  </si>
  <si>
    <t>Create adaptation candidate for weak-fit pattern - Deliver/Ship Devices Hand Deliver</t>
  </si>
  <si>
    <t>Low-similarity gap: Deliver/Ship Devices Hand Deliver | 25,287 ticket signal; 25,287 manual/cluster; 5,900.3 effort hours; 0 similarity.</t>
  </si>
  <si>
    <t>GSK-AUC-102</t>
  </si>
  <si>
    <t>Create adaptation candidate for weak-fit pattern - Node is DOWN, Zero hold down on Device taindca001.corpnet2.com</t>
  </si>
  <si>
    <t>Low-similarity gap: Node is DOWN, Zero hold down on Device taindca001.corpnet2.com | 8,850 ticket signal; 8,850 manual/cluster; 2,065 effort hours; 49 similarity.</t>
  </si>
  <si>
    <t>GSK-AUC-103</t>
  </si>
  <si>
    <t>Create adaptation candidate for weak-fit pattern - Deliver/Ship Devices via UPS</t>
  </si>
  <si>
    <t>Low-similarity gap: Deliver/Ship Devices via UPS | 6,224 ticket signal; 6,224 manual/cluster; 1,452.3 effort hours; 0 similarity.</t>
  </si>
  <si>
    <t>GSK-AUC-104</t>
  </si>
  <si>
    <t>Discover net-new skill candidate - Localize/Personalize device</t>
  </si>
  <si>
    <t>No-runbook gap: Localize/Personalize device | 35,423 ticket signal; 35,423 manual/cluster; 8,265.4 effort hours; 0 similarity.</t>
  </si>
  <si>
    <t>GSK-AUC-105</t>
  </si>
  <si>
    <t>Discover net-new skill candidate - Deliver/Ship Devices Hand Deliver</t>
  </si>
  <si>
    <t>No-runbook gap: Deliver/Ship Devices Hand Deliver | 25,287 ticket signal; 25,287 manual/cluster; 5,900.3 effort hours; 0 similarity.</t>
  </si>
  <si>
    <t>GSK-AUC-106</t>
  </si>
  <si>
    <t>Discover net-new skill candidate - Deliver/Ship Devices via UPS</t>
  </si>
  <si>
    <t>No-runbook gap: Deliver/Ship Devices via UPS | 6,224 ticket signal; 6,224 manual/cluster; 1,452.3 effort hours; 0 similarity.</t>
  </si>
  <si>
    <t>GSK-AUC-107</t>
  </si>
  <si>
    <t>Discover net-new skill candidate - TACAS Devices</t>
  </si>
  <si>
    <t>No-runbook gap: TACAS Devices | 374 ticket signal; 374 manual/cluster; 87.3 effort hours; 0 similarity.</t>
  </si>
  <si>
    <t>GSK-AUC-108</t>
  </si>
  <si>
    <t>Check known skill reuse before net-new build - Known-skill first reuse assessment</t>
  </si>
  <si>
    <t>Net-new development is limited to patterns that the existing catalogue cannot satisfy.</t>
  </si>
  <si>
    <t>Governance control: Known-skill first reuse assessment | 0 ticket signal; 0 manual/cluster; 0 effort hours; SME validation.</t>
  </si>
  <si>
    <t>GSK-AUC-109</t>
  </si>
  <si>
    <t>Register skill ownership and lifecycle state - Skill ownership and lifecycle registration</t>
  </si>
  <si>
    <t>Every promoted skill has owner, status, scope and reuse policy.</t>
  </si>
  <si>
    <t>Governance control: Skill ownership and lifecycle registration | 0 ticket signal; 0 manual/cluster; 0 effort hours; SME validation.</t>
  </si>
  <si>
    <t>GSK-AUC-110</t>
  </si>
  <si>
    <t>Application operations &amp; collaboration</t>
  </si>
  <si>
    <t>Discover net-new skill candidate - Messaging/Email Consultation</t>
  </si>
  <si>
    <t>No-runbook gap: Messaging/Email Consultation | 1,186 ticket signal; 1,186 manual/cluster; 276.7 effort hours; 0 similarity.</t>
  </si>
  <si>
    <t>GSK-AUC-111</t>
  </si>
  <si>
    <t>Discover net-new skill candidate - UAT Preparation</t>
  </si>
  <si>
    <t>No-runbook gap: UAT Preparation | 547 ticket signal; 547 manual/cluster; 127.6 effort hours; 0 similarity.</t>
  </si>
  <si>
    <t>GSK-AUC-112</t>
  </si>
  <si>
    <t>Discover net-new skill candidate - Adobe Sign Digital Signature</t>
  </si>
  <si>
    <t>No-runbook gap: Adobe Sign Digital Signature | 530 ticket signal; 530 manual/cluster; 123.7 effort hours; 0 similarity.</t>
  </si>
  <si>
    <t>GSK-AUC-113</t>
  </si>
  <si>
    <t>Discover net-new skill candidate - Distribution</t>
  </si>
  <si>
    <t>No-runbook gap: Distribution | 525 ticket signal; 525 manual/cluster; 122.5 effort hours; 0 similarity.</t>
  </si>
  <si>
    <t>GSK-AUC-114</t>
  </si>
  <si>
    <t>Discover net-new skill candidate - Verification</t>
  </si>
  <si>
    <t>No-runbook gap: Verification | 410 ticket signal; 410 manual/cluster; 95.7 effort hours; 0 similarity.</t>
  </si>
  <si>
    <t>GSK-AUC-115</t>
  </si>
  <si>
    <t>Change &amp; release</t>
  </si>
  <si>
    <t>Classify demand and confirm owner - Server build os installation</t>
  </si>
  <si>
    <t>Change Evidence and CAB Agent guardrail</t>
  </si>
  <si>
    <t>EAI-053 gsk-ops-release-note-generator; EAI-054 gsk-ops-incident-governance; EAI-073 gsk-arch-usecase-prod-readiness; EAI-095 gsk-tools-skills-evaluator; gsk-ops-change-risk-exception-scorer; gsk-ops-standard-change-evidence-packager</t>
  </si>
  <si>
    <t>Manual driver: server build os installation in accordance to the asset (Server Build OS In... | 4,218 ticket signal; 4,218 manual/cluster; 376.4 effort hours; SME validation.</t>
  </si>
  <si>
    <t>GSK-AUC-116</t>
  </si>
  <si>
    <t>Classify demand and confirm owner - Database Account Maintenance (Account Creation: Failed for '', Account Name: Ae...</t>
  </si>
  <si>
    <t>Manual driver: Database Account Maintenance (Account Creation: Failed for '', Account Name... | 3,982 ticket signal; 3,982 manual/cluster; 90.1 effort hours; SME validation.</t>
  </si>
  <si>
    <t>GSK-AUC-117</t>
  </si>
  <si>
    <t>Execute guided fulfilment or remediation - Server build os installation</t>
  </si>
  <si>
    <t>Change Evidence and CAB Agent accelerator</t>
  </si>
  <si>
    <t>Manual driver - execute: server build os installation in accordance to the asset (Server Build OS In... | 4,218 ticket signal; 4,218 manual/cluster; 376.4 effort hours; SME validation.</t>
  </si>
  <si>
    <t>GSK-AUC-118</t>
  </si>
  <si>
    <t>Execute guided fulfilment or remediation - Database Account Maintenance (Account Creation: Failed for '', Account N...</t>
  </si>
  <si>
    <t>Manual driver - execute: Database Account Maintenance (Account Creation: Failed for '', Account Name... | 3,982 ticket signal; 3,982 manual/cluster; 90.1 effort hours; SME validation.</t>
  </si>
  <si>
    <t>GSK-AUC-119</t>
  </si>
  <si>
    <t>Capture closure evidence and promote learning - Server build os installation</t>
  </si>
  <si>
    <t>Manual driver - evidence: server build os installation in accordance to the asset (Server Build OS In... | 4,218 ticket signal; 4,218 manual/cluster; 376.4 effort hours; SME validation.</t>
  </si>
  <si>
    <t>GSK-AUC-120</t>
  </si>
  <si>
    <t>Capture closure evidence and promote learning - Database Account Maintenance (Account Creation: Failed for '', Acco...</t>
  </si>
  <si>
    <t>Manual driver - evidence: Database Account Maintenance (Account Creation: Failed for '', Account Name... | 3,982 ticket signal; 3,982 manual/cluster; 90.1 effort hours; SME validation.</t>
  </si>
  <si>
    <t>GSK-AUC-121</t>
  </si>
  <si>
    <t>Create adaptation candidate for weak-fit pattern - Stop VM in Azure/Google Cloud Platform</t>
  </si>
  <si>
    <t>Low-similarity gap: Stop VM in Azure/Google Cloud Platform - user driven from the Hosting Porta... | 236,311 ticket signal; 236,311 manual/cluster; 55,139.2 effort hours; 37 similarity.</t>
  </si>
  <si>
    <t>GSK-AUC-122</t>
  </si>
  <si>
    <t>Create adaptation candidate for weak-fit pattern - Wavsalxhrv001 CPU Threshold</t>
  </si>
  <si>
    <t>Low-similarity gap: wavsalxhrv001 CPU Threshold | 11,477 ticket signal; 11,477 manual/cluster; 2,678 effort hours; 0 similarity.</t>
  </si>
  <si>
    <t>GSK-AUC-123</t>
  </si>
  <si>
    <t>Create adaptation candidate for weak-fit pattern - Production system administration task</t>
  </si>
  <si>
    <t>Low-similarity gap: Production system administration task | 3,369 ticket signal; 3,369 manual/cluster; 786.1 effort hours; 33 similarity.</t>
  </si>
  <si>
    <t>GSK-AUC-124</t>
  </si>
  <si>
    <t>Create adaptation candidate for weak-fit pattern - Change Request Review</t>
  </si>
  <si>
    <t>Low-similarity gap: Change Request Review | 2,841 ticket signal; 2,841 manual/cluster; 662.9 effort hours; 33 similarity.</t>
  </si>
  <si>
    <t>GSK-AUC-125</t>
  </si>
  <si>
    <t>Create adaptation candidate for weak-fit pattern - Database Consultancy</t>
  </si>
  <si>
    <t>Low-similarity gap: Database Consultancy | 2,430 ticket signal; 2,430 manual/cluster; 567 effort hours; 0 similarity.</t>
  </si>
  <si>
    <t>GSK-AUC-126</t>
  </si>
  <si>
    <t>Create adaptation candidate for weak-fit pattern - Agent Unreachable (REASON = Unable to connect to the agent at [s...</t>
  </si>
  <si>
    <t>Low-similarity gap: Agent Unreachable (REASON = Unable to connect to the agent at [saeosdlx0000... | 2,252 ticket signal; 2,252 manual/cluster; 525.5 effort hours; 44 similarity.</t>
  </si>
  <si>
    <t>GSK-AUC-127</t>
  </si>
  <si>
    <t>Create adaptation candidate for weak-fit pattern - 1 distinct types of ORA- errors have been found in the alert log</t>
  </si>
  <si>
    <t>Low-similarity gap: 1 distinct types of ORA- errors have been found in the alert log. | 2,082 ticket signal; 2,082 manual/cluster; 485.8 effort hours; 24 similarity.</t>
  </si>
  <si>
    <t>GSK-AUC-128</t>
  </si>
  <si>
    <t>Create adaptation candidate for weak-fit pattern - Secondary Approval Task</t>
  </si>
  <si>
    <t>Low-similarity gap: Secondary Approval Task | 1,549 ticket signal; 1,549 manual/cluster; 361.4 effort hours; 48 similarity.</t>
  </si>
  <si>
    <t>GSK-AUC-129</t>
  </si>
  <si>
    <t>Create adaptation candidate for weak-fit pattern - Restart server or start server</t>
  </si>
  <si>
    <t>Low-similarity gap: Restart server or start server in accordance to the VQD-SOP-022453 7.4.1. S... | 1,336 ticket signal; 1,336 manual/cluster; 311.7 effort hours; 47 similarity.</t>
  </si>
  <si>
    <t>GSK-AUC-130</t>
  </si>
  <si>
    <t>Apply release risk tier before promotion - Agent release risk tiering</t>
  </si>
  <si>
    <t>Production agents are promoted through risk-tiered ADLC controls.</t>
  </si>
  <si>
    <t>Governance control: Agent release risk tiering | 0 ticket signal; 0 manual/cluster; 0 effort hours; SME validation.</t>
  </si>
  <si>
    <t>GSK-AUC-131</t>
  </si>
  <si>
    <t>Validate rollback evidence before execution - Rollback evidence readiness</t>
  </si>
  <si>
    <t>Change automation carries an explicit recovery route.</t>
  </si>
  <si>
    <t>Governance control: Rollback evidence readiness | 0 ticket signal; 0 manual/cluster; 0 effort hours; SME validation.</t>
  </si>
  <si>
    <t>GSK-AUC-132</t>
  </si>
  <si>
    <t>FinOps &amp; value</t>
  </si>
  <si>
    <t>Score SLO impact before suppression - SLO and noise governance</t>
  </si>
  <si>
    <t>Noise reduction does not hide service-risk or compliance signals.</t>
  </si>
  <si>
    <t>FinOps Value Telemetry Agent catalyst</t>
  </si>
  <si>
    <t>EAI-056 gsk-ops-tagging-policy-monitor; EAI-057 gsk-ops-cluster-cost-optimizer; EAI-058 gsk-ops-finops-spike-monitor-direct; EAI-198 eai-eng-ops-delivery-exec-insights; gsk-ops-automation-value-ledger; gsk-ops-agent-cost-circuit-breaker</t>
  </si>
  <si>
    <t>Governance control: SLO and noise governance | 0 ticket signal; 0 manual/cluster; 0 effort hours; SME validation.</t>
  </si>
  <si>
    <t>GSK-AUC-133</t>
  </si>
  <si>
    <t>Track value and cost for each promoted agent - Automation value telemetry</t>
  </si>
  <si>
    <t>Benefit, cost, reuse and retirement decisions are visible.</t>
  </si>
  <si>
    <t>Governance control: Automation value telemetry | 0 ticket signal; 0 manual/cluster; 0 effort hours; SME validation.</t>
  </si>
  <si>
    <t>GSK-AUC-134</t>
  </si>
  <si>
    <t>Cross-tower service operations</t>
  </si>
  <si>
    <t>Promote runbook into reusable agent action - Not Available</t>
  </si>
  <si>
    <t>Demand Signal Prioritization Agent accelerator</t>
  </si>
  <si>
    <t>EAI-045 eai-eng-sdlc-create-backlog; EAI-094 gsk-dev-groom-backlog; EAI-198 eai-eng-ops-delivery-exec-insights; EAI-204 eai-eng-ops-backlog-prioritizer; gsk-ops-ticket-cluster-classifier; gsk-ops-opportunity-scoring-model</t>
  </si>
  <si>
    <t>Top runbook: Not Available | 94,813 ticket signal; 94,813 manual/cluster; 22,123 effort hours; 0 similarity.</t>
  </si>
  <si>
    <t>GSK-AUC-135</t>
  </si>
  <si>
    <t>Capture evidence ledger entry - Evidence ledger for agent actions</t>
  </si>
  <si>
    <t>Every agent action has trace, proof, decision and rollback context.</t>
  </si>
  <si>
    <t>Governance control: Evidence ledger for agent actions | 0 ticket signal; 0 manual/cluster; 0 effort hours; SME validation.</t>
  </si>
  <si>
    <t>GSK-AUC-136</t>
  </si>
  <si>
    <t>Route human approval by risk tier - Human approval policy by action type</t>
  </si>
  <si>
    <t>State-changing or privileged actions retain explicit human control.</t>
  </si>
  <si>
    <t>Governance control: Human approval policy by action type | 0 ticket signal; 0 manual/cluster; 0 effort hours; SME validation.</t>
  </si>
  <si>
    <t>Original Skill Name</t>
  </si>
  <si>
    <t>GSK Catalog-Style Skill ID</t>
  </si>
  <si>
    <t>Standard Skill Name</t>
  </si>
  <si>
    <t>eai-eng-create-backlog</t>
  </si>
  <si>
    <t>AI SDLC Backlog Creation Skill</t>
  </si>
  <si>
    <t>eai-eng-pipeline-monitor-triage</t>
  </si>
  <si>
    <t>eai-eng-release-notes</t>
  </si>
  <si>
    <t>eai-eng-incident-governance</t>
  </si>
  <si>
    <t>eai-eng-tagging-policy-monitor</t>
  </si>
  <si>
    <t>eai-eng-finops-cluster-cost-optimizer</t>
  </si>
  <si>
    <t>eai-eng-finops-detect-spikes</t>
  </si>
  <si>
    <t>eai-eng-integrated-review</t>
  </si>
  <si>
    <t>eai-eng-snowinc-kb-creator</t>
  </si>
  <si>
    <t>Incident Knowledge Creation Skill</t>
  </si>
  <si>
    <t>eai-eng-snowinc-kb-augmentor</t>
  </si>
  <si>
    <t>Incident Knowledge Augmentation Skill</t>
  </si>
  <si>
    <t>eai-eng-arch-urs-synthesizer</t>
  </si>
  <si>
    <t>eai-eng-arch-urs-validator</t>
  </si>
  <si>
    <t>eai-eng-groom-backlog</t>
  </si>
  <si>
    <t>eai-eng-skills-evaluator</t>
  </si>
  <si>
    <t>eai-eng-exec-insights</t>
  </si>
  <si>
    <t>Ops Delivery Executive Insight Skill</t>
  </si>
  <si>
    <t>eai-eng-backlog-prioritizer</t>
  </si>
  <si>
    <t>eai-tech-cloudops-azure-vm-availability-recovery</t>
  </si>
  <si>
    <t>Azure VM Availability Recovery Skill</t>
  </si>
  <si>
    <t>eai-tech-cloudops-linux-service-restart</t>
  </si>
  <si>
    <t>Linux Service Restart Skill</t>
  </si>
  <si>
    <t>eai-tech-cloudops-linux-hardware-replacement</t>
  </si>
  <si>
    <t>Linux Hardware Replacement Skill</t>
  </si>
  <si>
    <t>eai-tech-cloudops-windows-service-restart</t>
  </si>
  <si>
    <t>Windows Service Restart Skill</t>
  </si>
  <si>
    <t>eai-tech-cloudops-vmware-hci-disk-expansion</t>
  </si>
  <si>
    <t>VMware HCI Disk Expansion Skill</t>
  </si>
  <si>
    <t>eai-tech-cloudops-linux-os-post-install-validation</t>
  </si>
  <si>
    <t>Linux OS Post-Install Validation Skill</t>
  </si>
  <si>
    <t>eai-tech-cloudops-podman-container-export</t>
  </si>
  <si>
    <t>Podman Container Export Skill</t>
  </si>
  <si>
    <t>eai-tech-cloudops-aws-ecs-service-decommission</t>
  </si>
  <si>
    <t>AWS ECS Service Decommission Skill</t>
  </si>
  <si>
    <t>eai-tech-cloudops-gcp-bucket-label-compliance</t>
  </si>
  <si>
    <t>GCP Bucket Label Compliance Skill</t>
  </si>
  <si>
    <t>eai-tech-cloudops-vmware-horizon-vdi-agent-recovery</t>
  </si>
  <si>
    <t>VMware Horizon VDI Agent Recovery Skill</t>
  </si>
  <si>
    <t>eai-tech-cloudops-windows-connectivity-recovery</t>
  </si>
  <si>
    <t>Windows Connectivity Recovery Skill</t>
  </si>
  <si>
    <t>eai-tech-cloudops-linux-os-parameter-tuning</t>
  </si>
  <si>
    <t>Linux OS Parameter Tuning Skill</t>
  </si>
  <si>
    <t>eai-tech-cloudops-kubernetes-service-object-removal</t>
  </si>
  <si>
    <t>Kubernetes Service Object Removal Skill</t>
  </si>
  <si>
    <t>eai-tech-backup-data-hadoop-hdfs-file-retrieval</t>
  </si>
  <si>
    <t>Hadoop HDFS File Retrieval Skill</t>
  </si>
  <si>
    <t>eai-tech-backup-data-mssql-maintenance-plan-creation</t>
  </si>
  <si>
    <t>MSSQL Maintenance Plan Creation Skill</t>
  </si>
  <si>
    <t>eai-tech-backup-data-mssql-login-creation</t>
  </si>
  <si>
    <t>MSSQL Login Creation Skill</t>
  </si>
  <si>
    <t>eai-tech-backup-data-unity-storage-health-check</t>
  </si>
  <si>
    <t>Unity Storage Health Check Skill</t>
  </si>
  <si>
    <t>eai-tech-backup-data-mssql-constraint-disablement</t>
  </si>
  <si>
    <t>MSSQL Constraint Disablement Skill</t>
  </si>
  <si>
    <t>eai-tech-backup-data-database-consultancy-runbook</t>
  </si>
  <si>
    <t>Database Consultancy Runbook Skill</t>
  </si>
  <si>
    <t>eai-tech-backup-data-cmdb-retirement-runbook</t>
  </si>
  <si>
    <t>CMDB Retirement Runbook Skill</t>
  </si>
  <si>
    <t>eai-tech-backup-data-sql-decommission-runbook</t>
  </si>
  <si>
    <t>SQL Decommission Runbook Skill</t>
  </si>
  <si>
    <t>eai-tech-backup-data-storage-reclaim-runbook</t>
  </si>
  <si>
    <t>Storage Reclaim Runbook Skill</t>
  </si>
  <si>
    <t>eai-tech-backup-data-known-error-promotion-and-retirement-evidence</t>
  </si>
  <si>
    <t>Known-Error Promotion and Retirement Evidence Skill</t>
  </si>
  <si>
    <t>eai-tech-iam-tech-service-access-fulfillment</t>
  </si>
  <si>
    <t>Tech Service Access Fulfillment Skill</t>
  </si>
  <si>
    <t>eai-tech-iam-file-share-access-fulfillment</t>
  </si>
  <si>
    <t>File Share Access Fulfillment Skill</t>
  </si>
  <si>
    <t>eai-tech-iam-tech-service-access-fulfillment-variant-2</t>
  </si>
  <si>
    <t>Tech Service Access Fulfillment Skill - Variant 2</t>
  </si>
  <si>
    <t>eai-tech-iam-file-share-access-fulfillment-variant-2</t>
  </si>
  <si>
    <t>File Share Access Fulfillment Skill - Variant 2</t>
  </si>
  <si>
    <t>eai-tech-iam-tech-service-access-fulfillment-variant-3</t>
  </si>
  <si>
    <t>Tech Service Access Fulfillment Skill - Variant 3</t>
  </si>
  <si>
    <t>eai-tech-iam-file-share-access-fulfillment-variant-3</t>
  </si>
  <si>
    <t>File Share Access Fulfillment Skill - Variant 3</t>
  </si>
  <si>
    <t>eai-tech-iam-as400-user-unlock</t>
  </si>
  <si>
    <t>AS400 User Unlock Skill</t>
  </si>
  <si>
    <t>eai-tech-iam-sailpoint-password-reset</t>
  </si>
  <si>
    <t>SailPoint Password Reset Skill</t>
  </si>
  <si>
    <t>eai-tech-iam-saviynt-user-phone-update</t>
  </si>
  <si>
    <t>Saviynt User Phone Update Skill</t>
  </si>
  <si>
    <t>eai-tech-iam-mongodb-user-deletion</t>
  </si>
  <si>
    <t>MongoDB User Deletion Skill</t>
  </si>
  <si>
    <t>eai-tech-iam-windows-remote-access-tool-installation</t>
  </si>
  <si>
    <t>Windows Remote Access Tool Installation Skill</t>
  </si>
  <si>
    <t>eai-tech-iam-hardware-kit-accessory-guide-discovery</t>
  </si>
  <si>
    <t>Hardware Kit Accessory Guide Discovery Skill</t>
  </si>
  <si>
    <t>eai-tech-iam-privileged-access-review-discovery</t>
  </si>
  <si>
    <t>Privileged Access Review Discovery Skill</t>
  </si>
  <si>
    <t>eai-tech-iam-privileged-access-revocation-discovery</t>
  </si>
  <si>
    <t>Privileged Access Revocation Discovery Skill</t>
  </si>
  <si>
    <t>eai-tech-iam-schema-account-management-discovery</t>
  </si>
  <si>
    <t>Schema Account Management Discovery Skill</t>
  </si>
  <si>
    <t>eai-tech-iam-sso-consultation-discovery</t>
  </si>
  <si>
    <t>SSO Consultation Discovery Skill</t>
  </si>
  <si>
    <t>eai-tech-iam-sso-consultation-runbook</t>
  </si>
  <si>
    <t>SSO Consultation Runbook Skill</t>
  </si>
  <si>
    <t>eai-tech-iam-privileged-access-exception-evidence</t>
  </si>
  <si>
    <t>Privileged Access Exception Evidence Skill</t>
  </si>
  <si>
    <t>eai-tech-netdevops-perimeter-change-implementation</t>
  </si>
  <si>
    <t>Perimeter Change Implementation Skill</t>
  </si>
  <si>
    <t>eai-tech-netdevops-perimeter-change-implementation-variant-2</t>
  </si>
  <si>
    <t>Perimeter Change Implementation Skill - Variant 2</t>
  </si>
  <si>
    <t>eai-tech-netdevops-perimeter-change-implementation-variant-3</t>
  </si>
  <si>
    <t>Perimeter Change Implementation Skill - Variant 3</t>
  </si>
  <si>
    <t>eai-tech-netdevops-cisco-sdwan-user-add</t>
  </si>
  <si>
    <t>Cisco SD-WAN User Add Skill</t>
  </si>
  <si>
    <t>eai-tech-netdevops-network-interface-recovery</t>
  </si>
  <si>
    <t>Network Interface Recovery Skill</t>
  </si>
  <si>
    <t>eai-tech-netdevops-f5-bigip-config-diff</t>
  </si>
  <si>
    <t>F5 BIG-IP Config Diff Skill</t>
  </si>
  <si>
    <t>eai-tech-netdevops-f5-bigip-ltm-gtm-cleanup</t>
  </si>
  <si>
    <t>F5 BIG-IP LTM/GTM Cleanup Skill</t>
  </si>
  <si>
    <t>eai-tech-netdevops-palo-alto-interface-discovery</t>
  </si>
  <si>
    <t>Palo Alto Interface Discovery Skill</t>
  </si>
  <si>
    <t>eai-tech-netdevops-aws-security-group-port-restriction</t>
  </si>
  <si>
    <t>AWS Security Group Port Restriction Skill</t>
  </si>
  <si>
    <t>eai-tech-netdevops-palo-alto-security-profile-creation</t>
  </si>
  <si>
    <t>Palo Alto Security Profile Creation Skill</t>
  </si>
  <si>
    <t>eai-tech-netdevops-vmware-hci-network-adapter-addition</t>
  </si>
  <si>
    <t>VMware HCI Network Adapter Addition Skill</t>
  </si>
  <si>
    <t>eai-tech-netdevops-palo-alto-ha-status-check</t>
  </si>
  <si>
    <t>Palo Alto HA Status Check Skill</t>
  </si>
  <si>
    <t>eai-tech-netdevops-fortigate-vlan-interface-creation</t>
  </si>
  <si>
    <t>FortiGate VLAN Interface Creation Skill</t>
  </si>
  <si>
    <t>eai-tech-netdevops-f5-snmp-dcs-monitor-creation</t>
  </si>
  <si>
    <t>F5 SNMP DCS Monitor Creation Skill</t>
  </si>
  <si>
    <t>eai-tech-netdevops-network-change-implementation-discovery</t>
  </si>
  <si>
    <t>Network Change Implementation Discovery Skill</t>
  </si>
  <si>
    <t>eai-tech-aiops-application-server-reboot-event-action</t>
  </si>
  <si>
    <t>Application Server Reboot Event Action Skill</t>
  </si>
  <si>
    <t>eai-tech-aiops-asset-down-verification-action</t>
  </si>
  <si>
    <t>Asset Down Verification Action Skill</t>
  </si>
  <si>
    <t>eai-tech-aiops-memory-threshold-action</t>
  </si>
  <si>
    <t>Memory Threshold Action Skill</t>
  </si>
  <si>
    <t>eai-tech-aiops-cpu-threshold-action</t>
  </si>
  <si>
    <t>CPU Threshold Action Skill</t>
  </si>
  <si>
    <t>eai-tech-aiops-infrastructure-server-reboot-event-action</t>
  </si>
  <si>
    <t>Infrastructure Server Reboot Event Action Skill</t>
  </si>
  <si>
    <t>eai-tech-aiops-service-fault-action</t>
  </si>
  <si>
    <t>Service Fault Action Skill</t>
  </si>
  <si>
    <t>eai-tech-aiops-application-server-reboot-event-action-variant-2</t>
  </si>
  <si>
    <t>Application Server Reboot Event Action Skill - Variant 2</t>
  </si>
  <si>
    <t>eai-tech-aiops-asset-down-verification-action-variant-2</t>
  </si>
  <si>
    <t>Asset Down Verification Action Skill - Variant 2</t>
  </si>
  <si>
    <t>eai-tech-aiops-memory-threshold-action-variant-2</t>
  </si>
  <si>
    <t>Memory Threshold Action Skill - Variant 2</t>
  </si>
  <si>
    <t>eai-tech-aiops-cpu-threshold-action-variant-2</t>
  </si>
  <si>
    <t>CPU Threshold Action Skill - Variant 2</t>
  </si>
  <si>
    <t>eai-tech-aiops-infrastructure-server-reboot-event-action-variant-2</t>
  </si>
  <si>
    <t>Infrastructure Server Reboot Event Action Skill - Variant 2</t>
  </si>
  <si>
    <t>eai-tech-aiops-service-fault-action-variant-2</t>
  </si>
  <si>
    <t>Service Fault Action Skill - Variant 2</t>
  </si>
  <si>
    <t>eai-tech-aiops-application-server-reboot-event-action-variant-3</t>
  </si>
  <si>
    <t>Application Server Reboot Event Action Skill - Variant 3</t>
  </si>
  <si>
    <t>eai-tech-aiops-asset-down-verification-action-variant-3</t>
  </si>
  <si>
    <t>Asset Down Verification Action Skill - Variant 3</t>
  </si>
  <si>
    <t>eai-tech-aiops-memory-threshold-action-variant-3</t>
  </si>
  <si>
    <t>Memory Threshold Action Skill - Variant 3</t>
  </si>
  <si>
    <t>eai-tech-aiops-cpu-threshold-action-variant-3</t>
  </si>
  <si>
    <t>CPU Threshold Action Skill - Variant 3</t>
  </si>
  <si>
    <t>eai-tech-aiops-infrastructure-server-reboot-event-action-variant-3</t>
  </si>
  <si>
    <t>Infrastructure Server Reboot Event Action Skill - Variant 3</t>
  </si>
  <si>
    <t>eai-tech-aiops-service-fault-action-variant-3</t>
  </si>
  <si>
    <t>Service Fault Action Skill - Variant 3</t>
  </si>
  <si>
    <t>eai-tech-aiops-windows-application-event-log</t>
  </si>
  <si>
    <t>Windows Application Event Log Skill</t>
  </si>
  <si>
    <t>eai-tech-aiops-kubernetes-deployment-scale-down</t>
  </si>
  <si>
    <t>Kubernetes Deployment Scale-Down Skill</t>
  </si>
  <si>
    <t>eai-tech-aiops-linux-high-memory-remediation</t>
  </si>
  <si>
    <t>Linux High Memory Remediation Skill</t>
  </si>
  <si>
    <t>eai-tech-aiops-linux-high-cpu-remediation</t>
  </si>
  <si>
    <t>Linux High CPU Remediation Skill</t>
  </si>
  <si>
    <t>eai-tech-aiops-aws-cloudwatch-event-rule-creation</t>
  </si>
  <si>
    <t>AWS CloudWatch Event Rule Creation Skill</t>
  </si>
  <si>
    <t>eai-tech-aiops-cpu-threshold-runbook</t>
  </si>
  <si>
    <t>CPU Threshold Runbook Skill</t>
  </si>
  <si>
    <t>eai-tech-servicedesk-laptop-hardware-kit-assignment</t>
  </si>
  <si>
    <t>Laptop Hardware Kit Assignment Skill</t>
  </si>
  <si>
    <t>eai-tech-servicedesk-ipad-return-shipping-kit</t>
  </si>
  <si>
    <t>iPad Return Shipping Kit Skill</t>
  </si>
  <si>
    <t>eai-tech-servicedesk-ipad-hardware-kit-assignment</t>
  </si>
  <si>
    <t>iPad Hardware Kit Assignment Skill</t>
  </si>
  <si>
    <t>eai-tech-servicedesk-device-down-event-triage</t>
  </si>
  <si>
    <t>Device Down Event Triage Skill</t>
  </si>
  <si>
    <t>eai-tech-servicedesk-ad-group-membership-update</t>
  </si>
  <si>
    <t>AD Group Membership Update Skill</t>
  </si>
  <si>
    <t>eai-tech-servicedesk-global-tech-site-support</t>
  </si>
  <si>
    <t>Global Tech Site Support Skill</t>
  </si>
  <si>
    <t>eai-tech-servicedesk-laptop-hardware-kit-assignment-variant-2</t>
  </si>
  <si>
    <t>Laptop Hardware Kit Assignment Skill - Variant 2</t>
  </si>
  <si>
    <t>eai-tech-servicedesk-ipad-return-shipping-kit-variant-2</t>
  </si>
  <si>
    <t>iPad Return Shipping Kit Skill - Variant 2</t>
  </si>
  <si>
    <t>eai-tech-servicedesk-ipad-hardware-kit-assignment-variant-2</t>
  </si>
  <si>
    <t>iPad Hardware Kit Assignment Skill - Variant 2</t>
  </si>
  <si>
    <t>eai-tech-servicedesk-device-down-event-triage-variant-2</t>
  </si>
  <si>
    <t>Device Down Event Triage Skill - Variant 2</t>
  </si>
  <si>
    <t>eai-tech-servicedesk-ad-group-membership-update-variant-2</t>
  </si>
  <si>
    <t>AD Group Membership Update Skill - Variant 2</t>
  </si>
  <si>
    <t>eai-tech-servicedesk-global-tech-site-support-variant-2</t>
  </si>
  <si>
    <t>Global Tech Site Support Skill - Variant 2</t>
  </si>
  <si>
    <t>eai-tech-servicedesk-laptop-hardware-kit-assignment-variant-3</t>
  </si>
  <si>
    <t>Laptop Hardware Kit Assignment Skill - Variant 3</t>
  </si>
  <si>
    <t>eai-tech-servicedesk-ipad-return-shipping-kit-variant-3</t>
  </si>
  <si>
    <t>iPad Return Shipping Kit Skill - Variant 3</t>
  </si>
  <si>
    <t>eai-tech-servicedesk-ipad-hardware-kit-assignment-variant-3</t>
  </si>
  <si>
    <t>iPad Hardware Kit Assignment Skill - Variant 3</t>
  </si>
  <si>
    <t>eai-tech-servicedesk-device-down-event-triage-variant-3</t>
  </si>
  <si>
    <t>Device Down Event Triage Skill - Variant 3</t>
  </si>
  <si>
    <t>eai-tech-servicedesk-ad-group-membership-update-variant-3</t>
  </si>
  <si>
    <t>AD Group Membership Update Skill - Variant 3</t>
  </si>
  <si>
    <t>eai-tech-servicedesk-global-tech-site-support-variant-3</t>
  </si>
  <si>
    <t>Global Tech Site Support Skill - Variant 3</t>
  </si>
  <si>
    <t>eai-tech-servicedesk-local-stock-verification-discovery</t>
  </si>
  <si>
    <t>Local Stock Verification Discovery Skill</t>
  </si>
  <si>
    <t>eai-tech-servicedesk-device-personalization-discovery</t>
  </si>
  <si>
    <t>Device Personalization Discovery Skill</t>
  </si>
  <si>
    <t>eai-tech-servicedesk-hand-delivery-device-fulfillment-discovery</t>
  </si>
  <si>
    <t>Hand-Delivery Device Fulfillment Discovery Skill</t>
  </si>
  <si>
    <t>eai-tech-servicedesk-device-down-hold-down-discovery</t>
  </si>
  <si>
    <t>Device Down Hold-Down Discovery Skill</t>
  </si>
  <si>
    <t>eai-tech-servicedesk-ups-device-fulfillment-discovery</t>
  </si>
  <si>
    <t>UPS Device Fulfillment Discovery Skill</t>
  </si>
  <si>
    <t>eai-tech-servicedesk-device-personalization-runbook</t>
  </si>
  <si>
    <t>Device Personalization Runbook Skill</t>
  </si>
  <si>
    <t>eai-tech-servicedesk-hand-delivery-device-runbook</t>
  </si>
  <si>
    <t>Hand-Delivery Device Runbook Skill</t>
  </si>
  <si>
    <t>eai-tech-servicedesk-ups-device-fulfillment-runbook</t>
  </si>
  <si>
    <t>UPS Device Fulfillment Runbook Skill</t>
  </si>
  <si>
    <t>eai-tech-servicedesk-tacacs-device-runbook</t>
  </si>
  <si>
    <t>TACACS Device Runbook Skill</t>
  </si>
  <si>
    <t>eai-tech-servicedesk-known-reuse-assessment-evidence</t>
  </si>
  <si>
    <t>Known-Skill Reuse Assessment Evidence Skill</t>
  </si>
  <si>
    <t>eai-tech-servicedesk-ownership-and-lifecycle-evidence</t>
  </si>
  <si>
    <t>Skill Ownership and Lifecycle Evidence Skill</t>
  </si>
  <si>
    <t>eai-tech-appops-messaging-email-consultation-runbook</t>
  </si>
  <si>
    <t>Messaging Email Consultation Runbook Skill</t>
  </si>
  <si>
    <t>eai-tech-appops-uat-preparation-runbook</t>
  </si>
  <si>
    <t>UAT Preparation Runbook Skill</t>
  </si>
  <si>
    <t>eai-tech-appops-adobe-sign-digital-signature-runbook</t>
  </si>
  <si>
    <t>Adobe Sign Digital Signature Runbook Skill</t>
  </si>
  <si>
    <t>eai-tech-appops-distribution-runbook</t>
  </si>
  <si>
    <t>Distribution Runbook Skill</t>
  </si>
  <si>
    <t>eai-tech-appops-verification-runbook</t>
  </si>
  <si>
    <t>Verification Runbook Skill</t>
  </si>
  <si>
    <t>eai-tech-change-server-build-os-installation-evidence</t>
  </si>
  <si>
    <t>Server Build OS Installation Evidence Skill</t>
  </si>
  <si>
    <t>eai-tech-change-database-account-maintenance-evidence</t>
  </si>
  <si>
    <t>Database Account Maintenance Evidence Skill</t>
  </si>
  <si>
    <t>eai-tech-change-server-build-os-installation-evidence-variant-2</t>
  </si>
  <si>
    <t>Server Build OS Installation Evidence Skill - Variant 2</t>
  </si>
  <si>
    <t>eai-tech-change-database-account-maintenance-evidence-variant-2</t>
  </si>
  <si>
    <t>Database Account Maintenance Evidence Skill - Variant 2</t>
  </si>
  <si>
    <t>eai-tech-change-server-build-os-installation-evidence-variant-3</t>
  </si>
  <si>
    <t>Server Build OS Installation Evidence Skill - Variant 3</t>
  </si>
  <si>
    <t>eai-tech-change-database-account-maintenance-evidence-variant-3</t>
  </si>
  <si>
    <t>Database Account Maintenance Evidence Skill - Variant 3</t>
  </si>
  <si>
    <t>eai-tech-change-cloud-vm-stop-request-discovery</t>
  </si>
  <si>
    <t>Cloud VM Stop Request Discovery Skill</t>
  </si>
  <si>
    <t>eai-tech-change-cpu-threshold-discovery</t>
  </si>
  <si>
    <t>CPU Threshold Discovery Skill</t>
  </si>
  <si>
    <t>eai-tech-change-system-administration-task-discovery</t>
  </si>
  <si>
    <t>System Administration Task Discovery Skill</t>
  </si>
  <si>
    <t>eai-tech-change-change-request-review-discovery</t>
  </si>
  <si>
    <t>Change Request Review Discovery Skill</t>
  </si>
  <si>
    <t>eai-tech-change-database-consultancy-discovery</t>
  </si>
  <si>
    <t>Database Consultancy Discovery Skill</t>
  </si>
  <si>
    <t>eai-tech-change-agent-unreachable-event-discovery</t>
  </si>
  <si>
    <t>Agent Unreachable Event Discovery Skill</t>
  </si>
  <si>
    <t>eai-tech-change-ora-error-pattern-discovery</t>
  </si>
  <si>
    <t>ORA Error Pattern Discovery Skill</t>
  </si>
  <si>
    <t>eai-tech-change-secondary-approval-task-discovery</t>
  </si>
  <si>
    <t>Secondary Approval Task Discovery Skill</t>
  </si>
  <si>
    <t>eai-tech-change-server-restart-request-discovery</t>
  </si>
  <si>
    <t>Server Restart Request Discovery Skill</t>
  </si>
  <si>
    <t>eai-tech-change-agent-release-risk-tiering-evidence</t>
  </si>
  <si>
    <t>Agent Release Risk Tiering Evidence Skill</t>
  </si>
  <si>
    <t>eai-tech-change-rollback-readiness-evidence</t>
  </si>
  <si>
    <t>Rollback Readiness Evidence Skill</t>
  </si>
  <si>
    <t>eai-tech-finops-slo-and-noise-governance-evidence</t>
  </si>
  <si>
    <t>SLO and Noise Governance Evidence Skill</t>
  </si>
  <si>
    <t>eai-tech-finops-automation-value-telemetry-evidence</t>
  </si>
  <si>
    <t>Automation Value Telemetry Evidence Skill</t>
  </si>
  <si>
    <t>eai-tech-ops-runbook-availability-validation</t>
  </si>
  <si>
    <t>Runbook Availability Validation Skill</t>
  </si>
  <si>
    <t>eai-tech-ops-agent-action-evidence-ledger</t>
  </si>
  <si>
    <t>Agent Action Evidence Ledger Skill</t>
  </si>
  <si>
    <t>eai-tech-ops-human-approval-policy-evidence</t>
  </si>
  <si>
    <t>Human Approval Policy Evidence 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</si>
</sst>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\$#,##0"/>
    <numFmt numFmtId="166" formatCode="\$#,##0.00"/>
    <numFmt numFmtId="167" formatCode="0.00\x"/>
    <numFmt numFmtId="168" formatCode="0.0"/>
    <numFmt numFmtId="169" formatCode="\$0.00"/>
  </numFmts>
  <fonts count="24">
    <font>
      <sz val="11"/>
      <name val="Carlito"/>
    </font>
    <font>
      <sz val="10"/>
      <color rgb="FF1F2937"/>
      <name val="Roobert"/>
    </font>
    <font>
      <b/>
      <sz val="11"/>
      <color rgb="FFFFFFFF"/>
      <name val="Roobert"/>
    </font>
    <font>
      <b/>
      <sz val="10"/>
      <color rgb="FF4B148C"/>
      <name val="Roobert"/>
    </font>
    <font>
      <b/>
      <sz val="15"/>
      <color rgb="FFFFFFFF"/>
      <name val="Roobert"/>
    </font>
    <font>
      <b/>
      <sz val="10"/>
      <color rgb="FF667085"/>
      <name val="Roobert"/>
    </font>
    <font>
      <b/>
      <sz val="20"/>
      <color rgb="FF4B148C"/>
      <name val="Roobert"/>
    </font>
    <font>
      <sz val="9"/>
      <color rgb="FF1F2937"/>
      <name val="Roobert"/>
    </font>
    <font>
      <b/>
      <sz val="10"/>
      <color rgb="FF1464F4"/>
      <name val="Roobert"/>
    </font>
    <font>
      <b/>
      <sz val="10"/>
      <color rgb="FF0B7A3B"/>
      <name val="Roobert"/>
    </font>
    <font>
      <b/>
      <sz val="10"/>
      <color rgb="FFF15A24"/>
      <name val="Roobert"/>
    </font>
    <font>
      <b/>
      <sz val="10"/>
      <color rgb="FF1F2937"/>
      <name val="Roobert"/>
    </font>
    <font>
      <b/>
      <sz val="8"/>
      <color rgb="FFFFFFFF"/>
      <name val="Roobert"/>
    </font>
    <font>
      <sz val="14"/>
      <color rgb="FF1F2937"/>
      <name val="Roobert"/>
    </font>
    <font>
      <b/>
      <sz val="14"/>
      <color rgb="FF1464F4"/>
      <name val="Roobert"/>
    </font>
    <font>
      <b/>
      <sz val="14"/>
      <color rgb="FF0B7A3B"/>
      <name val="Roobert"/>
    </font>
    <font>
      <b/>
      <sz val="14"/>
      <color rgb="FF8A5A00"/>
      <name val="Roobert"/>
    </font>
    <font>
      <b/>
      <sz val="14"/>
      <color rgb="FF4B148C"/>
      <name val="Roobert"/>
    </font>
    <font>
      <b/>
      <sz val="14"/>
      <color rgb="FFF15A24"/>
      <name val="Roobert"/>
    </font>
    <font>
      <b/>
      <sz val="14"/>
      <color rgb="FF667085"/>
      <name val="Roobert"/>
    </font>
    <font>
      <b/>
      <sz val="11"/>
      <color rgb="FF1F2937"/>
      <name val="Roobert"/>
    </font>
    <font>
      <b/>
      <sz val="11"/>
      <color rgb="FF4B148C"/>
      <name val="Roobert"/>
    </font>
    <font>
      <sz val="11"/>
      <color rgb="FF1F2937"/>
      <name val="Roobert"/>
    </font>
    <font>
      <b/>
      <sz val="11"/>
      <color rgb="FF075FE4"/>
      <name val="Roobert"/>
    </font>
  </fonts>
  <fills count="13">
    <fill>
      <patternFill patternType="none"/>
    </fill>
    <fill>
      <patternFill patternType="gray125"/>
    </fill>
    <fill>
      <patternFill patternType="solid">
        <fgColor rgb="FF4B148C"/>
      </patternFill>
    </fill>
    <fill>
      <patternFill patternType="solid">
        <fgColor rgb="FFF5F0FF"/>
      </patternFill>
    </fill>
    <fill>
      <patternFill patternType="solid">
        <fgColor rgb="FFFFF4E5"/>
      </patternFill>
    </fill>
    <fill>
      <patternFill patternType="solid">
        <fgColor rgb="FFFFFFFF"/>
      </patternFill>
    </fill>
    <fill>
      <patternFill patternType="solid">
        <fgColor rgb="FFF3ECFF"/>
      </patternFill>
    </fill>
    <fill>
      <patternFill patternType="solid">
        <fgColor rgb="FFEEF5FF"/>
      </patternFill>
    </fill>
    <fill>
      <patternFill patternType="solid">
        <fgColor rgb="FFEAF7EF"/>
      </patternFill>
    </fill>
    <fill>
      <patternFill patternType="solid">
        <fgColor rgb="FFFFF2EA"/>
      </patternFill>
    </fill>
    <fill>
      <patternFill patternType="solid">
        <fgColor rgb="FFFFF4D8"/>
      </patternFill>
    </fill>
    <fill>
      <patternFill patternType="solid">
        <fgColor rgb="FFF7F9FC"/>
      </patternFill>
    </fill>
    <fill>
      <patternFill patternType="solid">
        <fgColor rgb="FFD9EEF7"/>
      </patternFill>
    </fill>
  </fills>
  <borders count="27">
    <border>
      <left/>
      <right/>
      <top/>
      <bottom/>
      <diagonal/>
    </border>
    <border>
      <left/>
      <right style="thin">
        <color rgb="FFD8E0EA"/>
      </right>
      <top/>
      <bottom style="thin">
        <color rgb="FFD8E0EA"/>
      </bottom>
      <diagonal/>
    </border>
    <border>
      <left style="thin">
        <color rgb="FFD8E0EA"/>
      </left>
      <right style="thin">
        <color rgb="FFD8E0EA"/>
      </right>
      <top/>
      <bottom style="thin">
        <color rgb="FFD8E0EA"/>
      </bottom>
      <diagonal/>
    </border>
    <border>
      <left style="thin">
        <color rgb="FFD8E0EA"/>
      </left>
      <right/>
      <top/>
      <bottom style="thin">
        <color rgb="FFD8E0EA"/>
      </bottom>
      <diagonal/>
    </border>
    <border>
      <left/>
      <right style="thin">
        <color rgb="FFD8E0EA"/>
      </right>
      <top style="thin">
        <color rgb="FFD8E0EA"/>
      </top>
      <bottom style="thin">
        <color rgb="FFD8E0EA"/>
      </bottom>
      <diagonal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  <diagonal/>
    </border>
    <border>
      <left style="thin">
        <color rgb="FFD8E0EA"/>
      </left>
      <right/>
      <top style="thin">
        <color rgb="FFD8E0EA"/>
      </top>
      <bottom style="thin">
        <color rgb="FFD8E0EA"/>
      </bottom>
      <diagonal/>
    </border>
    <border>
      <left/>
      <right style="thin">
        <color rgb="FFD8E0EA"/>
      </right>
      <top style="thin">
        <color rgb="FFD8E0EA"/>
      </top>
      <bottom/>
      <diagonal/>
    </border>
    <border>
      <left style="thin">
        <color rgb="FFD8E0EA"/>
      </left>
      <right style="thin">
        <color rgb="FFD8E0EA"/>
      </right>
      <top style="thin">
        <color rgb="FFD8E0EA"/>
      </top>
      <bottom/>
      <diagonal/>
    </border>
    <border>
      <left style="thin">
        <color rgb="FFD8E0EA"/>
      </left>
      <right/>
      <top style="thin">
        <color rgb="FFD8E0EA"/>
      </top>
      <bottom/>
      <diagonal/>
    </border>
    <border>
      <left style="thin">
        <color rgb="FFD9E2EC"/>
      </left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EEF2F6"/>
      </right>
      <top/>
      <bottom style="thin">
        <color rgb="FFEEF2F6"/>
      </bottom>
      <diagonal/>
    </border>
    <border>
      <left style="thin">
        <color rgb="FFEEF2F6"/>
      </left>
      <right style="thin">
        <color rgb="FFEEF2F6"/>
      </right>
      <top/>
      <bottom style="thin">
        <color rgb="FFEEF2F6"/>
      </bottom>
      <diagonal/>
    </border>
    <border>
      <left style="thin">
        <color rgb="FFEEF2F6"/>
      </left>
      <right/>
      <top/>
      <bottom style="thin">
        <color rgb="FFEEF2F6"/>
      </bottom>
      <diagonal/>
    </border>
    <border>
      <left/>
      <right style="thin">
        <color rgb="FFEEF2F6"/>
      </right>
      <top style="thin">
        <color rgb="FFEEF2F6"/>
      </top>
      <bottom style="thin">
        <color rgb="FFEEF2F6"/>
      </bottom>
      <diagonal/>
    </border>
    <border>
      <left style="thin">
        <color rgb="FFEEF2F6"/>
      </left>
      <right style="thin">
        <color rgb="FFEEF2F6"/>
      </right>
      <top style="thin">
        <color rgb="FFEEF2F6"/>
      </top>
      <bottom style="thin">
        <color rgb="FFEEF2F6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EEF2F6"/>
      </left>
      <right/>
      <top style="thin">
        <color rgb="FFEEF2F6"/>
      </top>
      <bottom style="thin">
        <color rgb="FFEEF2F6"/>
      </bottom>
      <diagonal/>
    </border>
    <border>
      <left/>
      <right style="thin">
        <color rgb="FFEEF2F6"/>
      </right>
      <top style="thin">
        <color rgb="FFEEF2F6"/>
      </top>
      <bottom/>
      <diagonal/>
    </border>
    <border>
      <left style="thin">
        <color rgb="FFEEF2F6"/>
      </left>
      <right style="thin">
        <color rgb="FFEEF2F6"/>
      </right>
      <top style="thin">
        <color rgb="FFEEF2F6"/>
      </top>
      <bottom/>
      <diagonal/>
    </border>
    <border>
      <left style="thin">
        <color rgb="FFEEF2F6"/>
      </left>
      <right/>
      <top style="thin">
        <color rgb="FFEEF2F6"/>
      </top>
      <bottom/>
      <diagonal/>
    </border>
    <border>
      <left style="thin">
        <color rgb="FFC7D4E2"/>
      </left>
      <right style="thin">
        <color rgb="FFC7D4E2"/>
      </right>
      <top style="thin">
        <color rgb="FFC7D4E2"/>
      </top>
      <bottom style="thin">
        <color rgb="FFC7D4E2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4" xfId="0" applyFont="1" applyBorder="1"/>
    <xf numFmtId="0" fontId="1" fillId="0" borderId="7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3" fontId="1" fillId="0" borderId="5" xfId="0" applyNumberFormat="1" applyFont="1" applyBorder="1"/>
    <xf numFmtId="9" fontId="1" fillId="0" borderId="5" xfId="0" applyNumberFormat="1" applyFont="1" applyBorder="1"/>
    <xf numFmtId="164" fontId="1" fillId="0" borderId="5" xfId="0" applyNumberFormat="1" applyFont="1" applyBorder="1"/>
    <xf numFmtId="0" fontId="3" fillId="4" borderId="8" xfId="0" applyFont="1" applyFill="1" applyBorder="1"/>
    <xf numFmtId="0" fontId="1" fillId="0" borderId="4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9" fontId="1" fillId="0" borderId="5" xfId="0" applyNumberFormat="1" applyFont="1" applyBorder="1" applyAlignment="1">
      <alignment vertical="center" wrapText="1"/>
    </xf>
    <xf numFmtId="9" fontId="1" fillId="0" borderId="8" xfId="0" applyNumberFormat="1" applyFont="1" applyBorder="1" applyAlignment="1">
      <alignment vertical="center" wrapText="1"/>
    </xf>
    <xf numFmtId="3" fontId="1" fillId="0" borderId="5" xfId="0" applyNumberFormat="1" applyFont="1" applyBorder="1" applyAlignment="1">
      <alignment vertical="center" wrapText="1"/>
    </xf>
    <xf numFmtId="3" fontId="1" fillId="0" borderId="8" xfId="0" applyNumberFormat="1" applyFont="1" applyBorder="1" applyAlignment="1">
      <alignment vertical="center" wrapText="1"/>
    </xf>
    <xf numFmtId="164" fontId="1" fillId="0" borderId="5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5" fontId="1" fillId="0" borderId="5" xfId="0" applyNumberFormat="1" applyFont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165" fontId="3" fillId="4" borderId="5" xfId="0" applyNumberFormat="1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166" fontId="3" fillId="4" borderId="5" xfId="0" applyNumberFormat="1" applyFont="1" applyFill="1" applyBorder="1" applyAlignment="1">
      <alignment vertical="center" wrapText="1"/>
    </xf>
    <xf numFmtId="167" fontId="1" fillId="0" borderId="5" xfId="0" applyNumberFormat="1" applyFont="1" applyBorder="1" applyAlignment="1">
      <alignment vertical="center" wrapText="1"/>
    </xf>
    <xf numFmtId="168" fontId="1" fillId="0" borderId="5" xfId="0" applyNumberFormat="1" applyFont="1" applyBorder="1" applyAlignment="1">
      <alignment vertical="center" wrapText="1"/>
    </xf>
    <xf numFmtId="169" fontId="1" fillId="0" borderId="5" xfId="0" applyNumberFormat="1" applyFont="1" applyBorder="1" applyAlignment="1">
      <alignment vertical="center" wrapText="1"/>
    </xf>
    <xf numFmtId="165" fontId="1" fillId="0" borderId="6" xfId="0" applyNumberFormat="1" applyFont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9" fontId="3" fillId="3" borderId="5" xfId="0" applyNumberFormat="1" applyFont="1" applyFill="1" applyBorder="1" applyAlignment="1">
      <alignment vertical="center" wrapText="1"/>
    </xf>
    <xf numFmtId="3" fontId="3" fillId="3" borderId="5" xfId="0" applyNumberFormat="1" applyFont="1" applyFill="1" applyBorder="1" applyAlignment="1">
      <alignment vertical="center" wrapText="1"/>
    </xf>
    <xf numFmtId="165" fontId="3" fillId="3" borderId="6" xfId="0" applyNumberFormat="1" applyFont="1" applyFill="1" applyBorder="1" applyAlignment="1">
      <alignment vertical="center" wrapText="1"/>
    </xf>
    <xf numFmtId="165" fontId="3" fillId="3" borderId="5" xfId="0" applyNumberFormat="1" applyFont="1" applyFill="1" applyBorder="1" applyAlignment="1">
      <alignment vertical="center" wrapText="1"/>
    </xf>
    <xf numFmtId="166" fontId="1" fillId="0" borderId="5" xfId="0" applyNumberFormat="1" applyFont="1" applyBorder="1" applyAlignment="1">
      <alignment vertical="center" wrapText="1"/>
    </xf>
    <xf numFmtId="0" fontId="7" fillId="0" borderId="0" xfId="0" applyFont="1"/>
    <xf numFmtId="0" fontId="12" fillId="2" borderId="16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3" fillId="0" borderId="19" xfId="0" applyFont="1" applyBorder="1" applyAlignment="1">
      <alignment vertical="top" wrapText="1"/>
    </xf>
    <xf numFmtId="0" fontId="13" fillId="0" borderId="20" xfId="0" applyFont="1" applyBorder="1" applyAlignment="1">
      <alignment vertical="top" wrapText="1"/>
    </xf>
    <xf numFmtId="0" fontId="14" fillId="7" borderId="21" xfId="0" applyFont="1" applyFill="1" applyBorder="1" applyAlignment="1">
      <alignment vertical="top" wrapText="1"/>
    </xf>
    <xf numFmtId="0" fontId="15" fillId="8" borderId="21" xfId="0" applyFont="1" applyFill="1" applyBorder="1" applyAlignment="1">
      <alignment vertical="top" wrapText="1"/>
    </xf>
    <xf numFmtId="0" fontId="13" fillId="0" borderId="22" xfId="0" applyFont="1" applyBorder="1" applyAlignment="1">
      <alignment vertical="top" wrapText="1"/>
    </xf>
    <xf numFmtId="0" fontId="16" fillId="10" borderId="21" xfId="0" applyFont="1" applyFill="1" applyBorder="1" applyAlignment="1">
      <alignment vertical="top" wrapText="1"/>
    </xf>
    <xf numFmtId="0" fontId="17" fillId="6" borderId="21" xfId="0" applyFont="1" applyFill="1" applyBorder="1" applyAlignment="1">
      <alignment vertical="top" wrapText="1"/>
    </xf>
    <xf numFmtId="0" fontId="18" fillId="9" borderId="21" xfId="0" applyFont="1" applyFill="1" applyBorder="1" applyAlignment="1">
      <alignment vertical="top" wrapText="1"/>
    </xf>
    <xf numFmtId="0" fontId="19" fillId="11" borderId="21" xfId="0" applyFont="1" applyFill="1" applyBorder="1" applyAlignment="1">
      <alignment vertical="top" wrapText="1"/>
    </xf>
    <xf numFmtId="0" fontId="13" fillId="0" borderId="23" xfId="0" applyFont="1" applyBorder="1" applyAlignment="1">
      <alignment vertical="top" wrapText="1"/>
    </xf>
    <xf numFmtId="0" fontId="13" fillId="0" borderId="24" xfId="0" applyFont="1" applyBorder="1" applyAlignment="1">
      <alignment vertical="top" wrapText="1"/>
    </xf>
    <xf numFmtId="0" fontId="13" fillId="0" borderId="25" xfId="0" applyFont="1" applyBorder="1" applyAlignment="1">
      <alignment vertical="top" wrapText="1"/>
    </xf>
    <xf numFmtId="0" fontId="2" fillId="2" borderId="26" xfId="0" applyFont="1" applyFill="1" applyBorder="1" applyAlignment="1">
      <alignment horizontal="center" vertical="center" wrapText="1"/>
    </xf>
    <xf numFmtId="0" fontId="20" fillId="12" borderId="26" xfId="0" applyFont="1" applyFill="1" applyBorder="1" applyAlignment="1">
      <alignment vertical="top" wrapText="1"/>
    </xf>
    <xf numFmtId="0" fontId="21" fillId="12" borderId="26" xfId="0" applyFont="1" applyFill="1" applyBorder="1" applyAlignment="1">
      <alignment vertical="top" wrapText="1"/>
    </xf>
    <xf numFmtId="0" fontId="22" fillId="12" borderId="26" xfId="0" applyFont="1" applyFill="1" applyBorder="1" applyAlignment="1">
      <alignment vertical="top" wrapText="1"/>
    </xf>
    <xf numFmtId="0" fontId="23" fillId="12" borderId="26" xfId="0" applyFont="1" applyFill="1" applyBorder="1" applyAlignment="1">
      <alignment vertical="top" wrapText="1"/>
    </xf>
    <xf numFmtId="0" fontId="21" fillId="12" borderId="26" xfId="0" applyFont="1" applyFill="1" applyBorder="1" applyAlignment="1">
      <alignment horizontal="center" vertical="top"/>
    </xf>
    <xf numFmtId="0" fontId="20" fillId="5" borderId="26" xfId="0" applyFont="1" applyFill="1" applyBorder="1" applyAlignment="1">
      <alignment vertical="top" wrapText="1"/>
    </xf>
    <xf numFmtId="0" fontId="21" fillId="5" borderId="26" xfId="0" applyFont="1" applyFill="1" applyBorder="1" applyAlignment="1">
      <alignment vertical="top" wrapText="1"/>
    </xf>
    <xf numFmtId="0" fontId="22" fillId="5" borderId="26" xfId="0" applyFont="1" applyFill="1" applyBorder="1" applyAlignment="1">
      <alignment vertical="top" wrapText="1"/>
    </xf>
    <xf numFmtId="0" fontId="23" fillId="5" borderId="26" xfId="0" applyFont="1" applyFill="1" applyBorder="1" applyAlignment="1">
      <alignment vertical="top" wrapText="1"/>
    </xf>
    <xf numFmtId="0" fontId="21" fillId="5" borderId="26" xfId="0" applyFont="1" applyFill="1" applyBorder="1" applyAlignment="1">
      <alignment horizontal="center" vertical="top"/>
    </xf>
    <xf numFmtId="0" fontId="6" fillId="5" borderId="0" xfId="0" applyFont="1" applyFill="1"/>
    <xf numFmtId="0" fontId="7" fillId="0" borderId="0" xfId="0" applyFont="1"/>
    <xf numFmtId="0" fontId="5" fillId="0" borderId="0" xfId="0" applyFont="1" applyAlignment="1">
      <alignment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10" fillId="9" borderId="10" xfId="0" applyFont="1" applyFill="1" applyBorder="1" applyAlignment="1">
      <alignment horizontal="center" vertical="center" wrapText="1"/>
    </xf>
    <xf numFmtId="0" fontId="10" fillId="9" borderId="11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11" fillId="10" borderId="13" xfId="0" applyFont="1" applyFill="1" applyBorder="1" applyAlignment="1">
      <alignment horizontal="center" vertical="center" wrapText="1"/>
    </xf>
    <xf numFmtId="0" fontId="11" fillId="10" borderId="15" xfId="0" applyFont="1" applyFill="1" applyBorder="1" applyAlignment="1">
      <alignment horizontal="center" vertical="center" wrapText="1"/>
    </xf>
    <xf numFmtId="0" fontId="11" fillId="10" borderId="1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4"/>
        <name val="Roobert"/>
        <scheme val="none"/>
      </font>
    </dxf>
    <dxf>
      <font>
        <strike val="0"/>
        <outline val="0"/>
        <shadow val="0"/>
        <u val="none"/>
        <vertAlign val="baseline"/>
        <sz val="14"/>
        <name val="Roobert"/>
        <scheme val="none"/>
      </font>
    </dxf>
    <dxf>
      <font>
        <strike val="0"/>
        <outline val="0"/>
        <shadow val="0"/>
        <u val="none"/>
        <vertAlign val="baseline"/>
        <sz val="14"/>
        <name val="Roobert"/>
        <scheme val="none"/>
      </font>
    </dxf>
    <dxf>
      <font>
        <strike val="0"/>
        <outline val="0"/>
        <shadow val="0"/>
        <u val="none"/>
        <vertAlign val="baseline"/>
        <sz val="14"/>
        <name val="Roobert"/>
        <scheme val="none"/>
      </font>
    </dxf>
    <dxf>
      <font>
        <strike val="0"/>
        <outline val="0"/>
        <shadow val="0"/>
        <u val="none"/>
        <vertAlign val="baseline"/>
        <sz val="14"/>
        <name val="Roobert"/>
        <scheme val="none"/>
      </font>
    </dxf>
    <dxf>
      <font>
        <strike val="0"/>
        <outline val="0"/>
        <shadow val="0"/>
        <u val="none"/>
        <vertAlign val="baseline"/>
        <sz val="14"/>
        <name val="Roobert"/>
        <scheme val="none"/>
      </font>
    </dxf>
    <dxf>
      <font>
        <strike val="0"/>
        <outline val="0"/>
        <shadow val="0"/>
        <u val="none"/>
        <vertAlign val="baseline"/>
        <sz val="14"/>
        <name val="Roobert"/>
        <scheme val="none"/>
      </font>
    </dxf>
    <dxf>
      <font>
        <strike val="0"/>
        <outline val="0"/>
        <shadow val="0"/>
        <u val="none"/>
        <vertAlign val="baseline"/>
        <sz val="14"/>
        <name val="Roobert"/>
        <scheme val="none"/>
      </font>
    </dxf>
    <dxf>
      <font>
        <strike val="0"/>
        <outline val="0"/>
        <shadow val="0"/>
        <u val="none"/>
        <vertAlign val="baseline"/>
        <sz val="14"/>
        <name val="Roobert"/>
        <scheme val="none"/>
      </font>
    </dxf>
    <dxf>
      <font>
        <strike val="0"/>
        <outline val="0"/>
        <shadow val="0"/>
        <u val="none"/>
        <vertAlign val="baseline"/>
        <sz val="14"/>
        <name val="Roobert"/>
        <scheme val="none"/>
      </font>
    </dxf>
    <dxf>
      <font>
        <strike val="0"/>
        <outline val="0"/>
        <shadow val="0"/>
        <u val="none"/>
        <vertAlign val="baseline"/>
        <sz val="14"/>
        <name val="Roobert"/>
        <scheme val="none"/>
      </font>
    </dxf>
    <dxf>
      <font>
        <strike val="0"/>
        <outline val="0"/>
        <shadow val="0"/>
        <u val="none"/>
        <vertAlign val="baseline"/>
        <sz val="14"/>
        <name val="Roobert"/>
        <scheme val="none"/>
      </font>
    </dxf>
    <dxf>
      <font>
        <strike val="0"/>
        <outline val="0"/>
        <shadow val="0"/>
        <u val="none"/>
        <vertAlign val="baseline"/>
        <sz val="14"/>
        <name val="Roober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C81589-8B6C-704A-A29F-409F3C76D0A2}" name="GSKAUCAgenticSkillsMap" displayName="GSKAUCAgenticSkillsMap" ref="A7:L143" totalsRowShown="0" dataDxfId="12">
  <tableColumns count="12">
    <tableColumn id="1" xr3:uid="{6879F551-53E4-954B-A84A-63F8A7ABE564}" name="AUC ID" dataDxfId="11"/>
    <tableColumn id="2" xr3:uid="{457B330B-E120-FF4E-A600-8BFED3AAFFD1}" name="Tower / track" dataDxfId="10"/>
    <tableColumn id="3" xr3:uid="{4FBFCC0E-E39C-CF42-86AD-DA818ECFE40E}" name="Usecase" dataDxfId="9"/>
    <tableColumn id="4" xr3:uid="{7DF61314-5229-0C46-BB28-C5F972C18FAF}" name="Outcome" dataDxfId="8"/>
    <tableColumn id="5" xr3:uid="{33BE3294-9349-A646-8C3B-04D958B13426}" name="Agentic AI taxonomy" dataDxfId="7"/>
    <tableColumn id="6" xr3:uid="{122A0536-F863-C94D-A44E-D62981B79EDB}" name="Primary standard name" dataDxfId="6"/>
    <tableColumn id="7" xr3:uid="{B66D146A-70AB-3744-8125-716CF03F23F9}" name="Agentic AI asset name" dataDxfId="5"/>
    <tableColumn id="8" xr3:uid="{AEA5A23F-EDAB-E44A-A3EF-CC8E159BC085}" name="Skills list - comprehensive" dataDxfId="4"/>
    <tableColumn id="9" xr3:uid="{253F29C2-C8FE-0A49-B946-ECE85E69C66F}" name="Skill posture" dataDxfId="3"/>
    <tableColumn id="10" xr3:uid="{1C973B49-4F13-1C4C-8265-F47A2BC453C8}" name="Grounded GSK signal" dataDxfId="2"/>
    <tableColumn id="11" xr3:uid="{C804715F-8AEE-184D-A8D9-22B9ABC0E16E}" name="Priority" dataDxfId="1"/>
    <tableColumn id="12" xr3:uid="{D7497CBD-3BBF-F04A-BEE3-DEB158631D90}" name="Validation no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SKYear1Opportunity" displayName="GSKYear1Opportunity" ref="A1:D9" totalsRowShown="0">
  <autoFilter ref="A1:D9" xr:uid="{00000000-0009-0000-0100-000002000000}"/>
  <tableColumns count="4">
    <tableColumn id="1" xr3:uid="{00000000-0010-0000-0100-000001000000}" name="Metric"/>
    <tableColumn id="2" xr3:uid="{00000000-0010-0000-0100-000002000000}" name="Value"/>
    <tableColumn id="3" xr3:uid="{00000000-0010-0000-0100-000003000000}" name="Source / formula"/>
    <tableColumn id="4" xr3:uid="{00000000-0010-0000-0100-000004000000}" name="Planning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SKYear1Sprints" displayName="GSKYear1Sprints" ref="A1:H13" totalsRowShown="0">
  <autoFilter ref="A1:H13" xr:uid="{00000000-0009-0000-0100-000003000000}"/>
  <tableColumns count="8">
    <tableColumn id="1" xr3:uid="{00000000-0010-0000-0200-000001000000}" name="Sprint"/>
    <tableColumn id="2" xr3:uid="{00000000-0010-0000-0200-000002000000}" name="Month"/>
    <tableColumn id="3" xr3:uid="{00000000-0010-0000-0200-000003000000}" name="Wave"/>
    <tableColumn id="4" xr3:uid="{00000000-0010-0000-0200-000004000000}" name="Primary build / rollout focus"/>
    <tableColumn id="5" xr3:uid="{00000000-0010-0000-0200-000005000000}" name="% of Year-1 target"/>
    <tableColumn id="6" xr3:uid="{00000000-0010-0000-0200-000006000000}" name="Target tickets"/>
    <tableColumn id="7" xr3:uid="{00000000-0010-0000-0200-000007000000}" name="Cumulative target"/>
    <tableColumn id="8" xr3:uid="{00000000-0010-0000-0200-000008000000}" name="Exit gate / evid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SKTowerPlan" displayName="GSKTowerPlan" ref="A1:H13" totalsRowShown="0">
  <autoFilter ref="A1:H13" xr:uid="{00000000-0009-0000-0100-000004000000}"/>
  <tableColumns count="8">
    <tableColumn id="1" xr3:uid="{00000000-0010-0000-0300-000001000000}" name="Tower"/>
    <tableColumn id="2" xr3:uid="{00000000-0010-0000-0300-000002000000}" name="Received skills"/>
    <tableColumn id="3" xr3:uid="{00000000-0010-0000-0300-000003000000}" name="Planned skills"/>
    <tableColumn id="4" xr3:uid="{00000000-0010-0000-0300-000004000000}" name="Atomic usecases"/>
    <tableColumn id="5" xr3:uid="{00000000-0010-0000-0300-000005000000}" name="Wave / sprint entry"/>
    <tableColumn id="6" xr3:uid="{00000000-0010-0000-0300-000006000000}" name="Allocation %"/>
    <tableColumn id="7" xr3:uid="{00000000-0010-0000-0300-000007000000}" name="Year-1 target tickets"/>
    <tableColumn id="8" xr3:uid="{00000000-0010-0000-0300-000008000000}" name="Automation focus / control 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SKTokenTierModel" displayName="GSKTokenTierModel" ref="A15:P20" totalsRowShown="0">
  <autoFilter ref="A15:P20" xr:uid="{00000000-0009-0000-0100-000005000000}"/>
  <tableColumns count="16">
    <tableColumn id="1" xr3:uid="{00000000-0010-0000-0400-000001000000}" name="Tier"/>
    <tableColumn id="2" xr3:uid="{00000000-0010-0000-0400-000002000000}" name="Agent / use pattern"/>
    <tableColumn id="3" xr3:uid="{00000000-0010-0000-0400-000003000000}" name="Share of actions"/>
    <tableColumn id="4" xr3:uid="{00000000-0010-0000-0400-000004000000}" name="Automated actions"/>
    <tableColumn id="5" xr3:uid="{00000000-0010-0000-0400-000005000000}" name="Calls / action"/>
    <tableColumn id="6" xr3:uid="{00000000-0010-0000-0400-000006000000}" name="Input tokens / call"/>
    <tableColumn id="7" xr3:uid="{00000000-0010-0000-0400-000007000000}" name="Cached tokens / call"/>
    <tableColumn id="8" xr3:uid="{00000000-0010-0000-0400-000008000000}" name="Output tokens / call"/>
    <tableColumn id="9" xr3:uid="{00000000-0010-0000-0400-000009000000}" name="Annual input tokens"/>
    <tableColumn id="10" xr3:uid="{00000000-0010-0000-0400-00000A000000}" name="Annual cached tokens"/>
    <tableColumn id="11" xr3:uid="{00000000-0010-0000-0400-00000B000000}" name="Annual output tokens"/>
    <tableColumn id="12" xr3:uid="{00000000-0010-0000-0400-00000C000000}" name="Model tier"/>
    <tableColumn id="13" xr3:uid="{00000000-0010-0000-0400-00000D000000}" name="Input $ / 1M"/>
    <tableColumn id="14" xr3:uid="{00000000-0010-0000-0400-00000E000000}" name="Cached $ / 1M"/>
    <tableColumn id="15" xr3:uid="{00000000-0010-0000-0400-00000F000000}" name="Output $ / 1M"/>
    <tableColumn id="16" xr3:uid="{00000000-0010-0000-0400-000010000000}" name="Annual model cos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GSKPlatformInfraTCO" displayName="GSKPlatformInfraTCO" ref="A23:H33" totalsRowShown="0">
  <autoFilter ref="A23:H33" xr:uid="{00000000-0009-0000-0100-000006000000}"/>
  <tableColumns count="8">
    <tableColumn id="1" xr3:uid="{00000000-0010-0000-0500-000001000000}" name="Component"/>
    <tableColumn id="2" xr3:uid="{00000000-0010-0000-0500-000002000000}" name="Cost bucket"/>
    <tableColumn id="3" xr3:uid="{00000000-0010-0000-0500-000003000000}" name="Unit / driver"/>
    <tableColumn id="4" xr3:uid="{00000000-0010-0000-0500-000004000000}" name="Monthly qty"/>
    <tableColumn id="5" xr3:uid="{00000000-0010-0000-0500-000005000000}" name="Unit cost / month"/>
    <tableColumn id="6" xr3:uid="{00000000-0010-0000-0500-000006000000}" name="Active months"/>
    <tableColumn id="7" xr3:uid="{00000000-0010-0000-0500-000007000000}" name="Annual cost"/>
    <tableColumn id="8" xr3:uid="{00000000-0010-0000-0500-000008000000}" name="Planning 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GSKTCOScenarios" displayName="GSKTCOScenarios" ref="A37:H40" totalsRowShown="0">
  <autoFilter ref="A37:H40" xr:uid="{00000000-0009-0000-0100-000007000000}"/>
  <tableColumns count="8">
    <tableColumn id="1" xr3:uid="{00000000-0010-0000-0600-000001000000}" name="Scenario"/>
    <tableColumn id="2" xr3:uid="{00000000-0010-0000-0600-000002000000}" name="Token multiplier"/>
    <tableColumn id="3" xr3:uid="{00000000-0010-0000-0600-000003000000}" name="Infra multiplier"/>
    <tableColumn id="4" xr3:uid="{00000000-0010-0000-0600-000004000000}" name="Model token cost"/>
    <tableColumn id="5" xr3:uid="{00000000-0010-0000-0600-000005000000}" name="Infra/platform cost"/>
    <tableColumn id="6" xr3:uid="{00000000-0010-0000-0600-000006000000}" name="Year-1 TCO"/>
    <tableColumn id="7" xr3:uid="{00000000-0010-0000-0600-000007000000}" name="Cost / action"/>
    <tableColumn id="8" xr3:uid="{00000000-0010-0000-0600-000008000000}" name="When to us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GSKPricingSources" displayName="GSKPricingSources" ref="A43:C48" totalsRowShown="0">
  <autoFilter ref="A43:C48" xr:uid="{00000000-0009-0000-0100-000008000000}"/>
  <tableColumns count="3">
    <tableColumn id="1" xr3:uid="{00000000-0010-0000-0700-000001000000}" name="Pricing reference"/>
    <tableColumn id="2" xr3:uid="{00000000-0010-0000-0700-000002000000}" name="URL"/>
    <tableColumn id="3" xr3:uid="{00000000-0010-0000-0700-000003000000}" name="Use in 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3"/>
  <sheetViews>
    <sheetView showGridLines="0" tabSelected="1" zoomScale="125" workbookViewId="0">
      <selection activeCell="D6" sqref="D6"/>
    </sheetView>
  </sheetViews>
  <sheetFormatPr defaultColWidth="8.83203125" defaultRowHeight="14"/>
  <cols>
    <col min="1" max="1" width="14" customWidth="1"/>
    <col min="2" max="2" width="21" customWidth="1"/>
    <col min="3" max="3" width="48" customWidth="1"/>
    <col min="4" max="4" width="52" customWidth="1"/>
    <col min="5" max="5" width="44" customWidth="1"/>
    <col min="6" max="6" width="13" customWidth="1"/>
  </cols>
  <sheetData>
    <row r="1" spans="1:6" ht="28" customHeight="1">
      <c r="A1" s="57" t="s">
        <v>0</v>
      </c>
      <c r="B1" s="57" t="s">
        <v>1</v>
      </c>
      <c r="C1" s="57" t="s">
        <v>1055</v>
      </c>
      <c r="D1" s="57" t="s">
        <v>1056</v>
      </c>
      <c r="E1" s="57" t="s">
        <v>1057</v>
      </c>
      <c r="F1" s="57" t="s">
        <v>2</v>
      </c>
    </row>
    <row r="2" spans="1:6" ht="24" customHeight="1">
      <c r="A2" s="58" t="s">
        <v>3</v>
      </c>
      <c r="B2" s="59" t="s">
        <v>4</v>
      </c>
      <c r="C2" s="60" t="s">
        <v>5</v>
      </c>
      <c r="D2" s="61" t="s">
        <v>1058</v>
      </c>
      <c r="E2" s="58" t="s">
        <v>1059</v>
      </c>
      <c r="F2" s="62" t="s">
        <v>6</v>
      </c>
    </row>
    <row r="3" spans="1:6" ht="24" customHeight="1">
      <c r="A3" s="63" t="s">
        <v>7</v>
      </c>
      <c r="B3" s="64" t="s">
        <v>8</v>
      </c>
      <c r="C3" s="65" t="s">
        <v>9</v>
      </c>
      <c r="D3" s="66" t="s">
        <v>1060</v>
      </c>
      <c r="E3" s="63" t="s">
        <v>9</v>
      </c>
      <c r="F3" s="67" t="s">
        <v>6</v>
      </c>
    </row>
    <row r="4" spans="1:6" ht="24" customHeight="1">
      <c r="A4" s="58" t="s">
        <v>10</v>
      </c>
      <c r="B4" s="59" t="s">
        <v>11</v>
      </c>
      <c r="C4" s="60" t="s">
        <v>12</v>
      </c>
      <c r="D4" s="61" t="s">
        <v>1061</v>
      </c>
      <c r="E4" s="58" t="s">
        <v>12</v>
      </c>
      <c r="F4" s="62" t="s">
        <v>6</v>
      </c>
    </row>
    <row r="5" spans="1:6" ht="24" customHeight="1">
      <c r="A5" s="63" t="s">
        <v>13</v>
      </c>
      <c r="B5" s="64" t="s">
        <v>8</v>
      </c>
      <c r="C5" s="65" t="s">
        <v>14</v>
      </c>
      <c r="D5" s="66" t="s">
        <v>1062</v>
      </c>
      <c r="E5" s="63" t="s">
        <v>14</v>
      </c>
      <c r="F5" s="67" t="s">
        <v>6</v>
      </c>
    </row>
    <row r="6" spans="1:6" ht="24" customHeight="1">
      <c r="A6" s="58" t="s">
        <v>15</v>
      </c>
      <c r="B6" s="59" t="s">
        <v>16</v>
      </c>
      <c r="C6" s="60" t="s">
        <v>17</v>
      </c>
      <c r="D6" s="61" t="s">
        <v>1063</v>
      </c>
      <c r="E6" s="58" t="s">
        <v>17</v>
      </c>
      <c r="F6" s="62" t="s">
        <v>6</v>
      </c>
    </row>
    <row r="7" spans="1:6" ht="24" customHeight="1">
      <c r="A7" s="63" t="s">
        <v>18</v>
      </c>
      <c r="B7" s="64" t="s">
        <v>16</v>
      </c>
      <c r="C7" s="65" t="s">
        <v>19</v>
      </c>
      <c r="D7" s="66" t="s">
        <v>1064</v>
      </c>
      <c r="E7" s="63" t="s">
        <v>19</v>
      </c>
      <c r="F7" s="67" t="s">
        <v>6</v>
      </c>
    </row>
    <row r="8" spans="1:6" ht="24" customHeight="1">
      <c r="A8" s="58" t="s">
        <v>20</v>
      </c>
      <c r="B8" s="59" t="s">
        <v>16</v>
      </c>
      <c r="C8" s="60" t="s">
        <v>21</v>
      </c>
      <c r="D8" s="61" t="s">
        <v>1065</v>
      </c>
      <c r="E8" s="58" t="s">
        <v>21</v>
      </c>
      <c r="F8" s="62" t="s">
        <v>6</v>
      </c>
    </row>
    <row r="9" spans="1:6" ht="24" customHeight="1">
      <c r="A9" s="63" t="s">
        <v>22</v>
      </c>
      <c r="B9" s="64" t="s">
        <v>23</v>
      </c>
      <c r="C9" s="65" t="s">
        <v>24</v>
      </c>
      <c r="D9" s="66" t="s">
        <v>1066</v>
      </c>
      <c r="E9" s="63" t="s">
        <v>24</v>
      </c>
      <c r="F9" s="67" t="s">
        <v>6</v>
      </c>
    </row>
    <row r="10" spans="1:6" ht="24" customHeight="1">
      <c r="A10" s="58" t="s">
        <v>25</v>
      </c>
      <c r="B10" s="59" t="s">
        <v>26</v>
      </c>
      <c r="C10" s="60" t="s">
        <v>27</v>
      </c>
      <c r="D10" s="61" t="s">
        <v>1067</v>
      </c>
      <c r="E10" s="58" t="s">
        <v>1068</v>
      </c>
      <c r="F10" s="62" t="s">
        <v>6</v>
      </c>
    </row>
    <row r="11" spans="1:6" ht="24" customHeight="1">
      <c r="A11" s="63" t="s">
        <v>28</v>
      </c>
      <c r="B11" s="64" t="s">
        <v>26</v>
      </c>
      <c r="C11" s="65" t="s">
        <v>29</v>
      </c>
      <c r="D11" s="66" t="s">
        <v>1069</v>
      </c>
      <c r="E11" s="63" t="s">
        <v>1070</v>
      </c>
      <c r="F11" s="67" t="s">
        <v>6</v>
      </c>
    </row>
    <row r="12" spans="1:6" ht="24" customHeight="1">
      <c r="A12" s="58" t="s">
        <v>30</v>
      </c>
      <c r="B12" s="59" t="s">
        <v>23</v>
      </c>
      <c r="C12" s="60" t="s">
        <v>31</v>
      </c>
      <c r="D12" s="61" t="s">
        <v>1071</v>
      </c>
      <c r="E12" s="58" t="s">
        <v>31</v>
      </c>
      <c r="F12" s="62" t="s">
        <v>6</v>
      </c>
    </row>
    <row r="13" spans="1:6" ht="24" customHeight="1">
      <c r="A13" s="63" t="s">
        <v>32</v>
      </c>
      <c r="B13" s="64" t="s">
        <v>23</v>
      </c>
      <c r="C13" s="65" t="s">
        <v>33</v>
      </c>
      <c r="D13" s="66" t="s">
        <v>1072</v>
      </c>
      <c r="E13" s="63" t="s">
        <v>33</v>
      </c>
      <c r="F13" s="67" t="s">
        <v>6</v>
      </c>
    </row>
    <row r="14" spans="1:6" ht="24" customHeight="1">
      <c r="A14" s="58" t="s">
        <v>34</v>
      </c>
      <c r="B14" s="59" t="s">
        <v>4</v>
      </c>
      <c r="C14" s="60" t="s">
        <v>35</v>
      </c>
      <c r="D14" s="61" t="s">
        <v>1073</v>
      </c>
      <c r="E14" s="58" t="s">
        <v>35</v>
      </c>
      <c r="F14" s="62" t="s">
        <v>6</v>
      </c>
    </row>
    <row r="15" spans="1:6" ht="24" customHeight="1">
      <c r="A15" s="63" t="s">
        <v>36</v>
      </c>
      <c r="B15" s="64" t="s">
        <v>23</v>
      </c>
      <c r="C15" s="65" t="s">
        <v>37</v>
      </c>
      <c r="D15" s="66" t="s">
        <v>1074</v>
      </c>
      <c r="E15" s="63" t="s">
        <v>37</v>
      </c>
      <c r="F15" s="67" t="s">
        <v>6</v>
      </c>
    </row>
    <row r="16" spans="1:6" ht="24" customHeight="1">
      <c r="A16" s="58" t="s">
        <v>38</v>
      </c>
      <c r="B16" s="59" t="s">
        <v>4</v>
      </c>
      <c r="C16" s="60" t="s">
        <v>39</v>
      </c>
      <c r="D16" s="61" t="s">
        <v>1075</v>
      </c>
      <c r="E16" s="58" t="s">
        <v>1076</v>
      </c>
      <c r="F16" s="62" t="s">
        <v>6</v>
      </c>
    </row>
    <row r="17" spans="1:6" ht="24" customHeight="1">
      <c r="A17" s="63" t="s">
        <v>40</v>
      </c>
      <c r="B17" s="64" t="s">
        <v>4</v>
      </c>
      <c r="C17" s="65" t="s">
        <v>41</v>
      </c>
      <c r="D17" s="66" t="s">
        <v>1077</v>
      </c>
      <c r="E17" s="63" t="s">
        <v>41</v>
      </c>
      <c r="F17" s="67" t="s">
        <v>6</v>
      </c>
    </row>
    <row r="18" spans="1:6" ht="24" customHeight="1">
      <c r="A18" s="58" t="s">
        <v>42</v>
      </c>
      <c r="B18" s="59" t="s">
        <v>43</v>
      </c>
      <c r="C18" s="60" t="s">
        <v>44</v>
      </c>
      <c r="D18" s="61" t="s">
        <v>1078</v>
      </c>
      <c r="E18" s="58" t="s">
        <v>1079</v>
      </c>
      <c r="F18" s="62" t="s">
        <v>45</v>
      </c>
    </row>
    <row r="19" spans="1:6" ht="24" customHeight="1">
      <c r="A19" s="63" t="s">
        <v>46</v>
      </c>
      <c r="B19" s="64" t="s">
        <v>43</v>
      </c>
      <c r="C19" s="65" t="s">
        <v>47</v>
      </c>
      <c r="D19" s="66" t="s">
        <v>1080</v>
      </c>
      <c r="E19" s="63" t="s">
        <v>1081</v>
      </c>
      <c r="F19" s="67" t="s">
        <v>45</v>
      </c>
    </row>
    <row r="20" spans="1:6" ht="24" customHeight="1">
      <c r="A20" s="58" t="s">
        <v>48</v>
      </c>
      <c r="B20" s="59" t="s">
        <v>43</v>
      </c>
      <c r="C20" s="60" t="s">
        <v>49</v>
      </c>
      <c r="D20" s="61" t="s">
        <v>1082</v>
      </c>
      <c r="E20" s="58" t="s">
        <v>1083</v>
      </c>
      <c r="F20" s="62" t="s">
        <v>45</v>
      </c>
    </row>
    <row r="21" spans="1:6" ht="24" customHeight="1">
      <c r="A21" s="63" t="s">
        <v>50</v>
      </c>
      <c r="B21" s="64" t="s">
        <v>43</v>
      </c>
      <c r="C21" s="65" t="s">
        <v>51</v>
      </c>
      <c r="D21" s="66" t="s">
        <v>1084</v>
      </c>
      <c r="E21" s="63" t="s">
        <v>1085</v>
      </c>
      <c r="F21" s="67" t="s">
        <v>45</v>
      </c>
    </row>
    <row r="22" spans="1:6" ht="24" customHeight="1">
      <c r="A22" s="58" t="s">
        <v>52</v>
      </c>
      <c r="B22" s="59" t="s">
        <v>43</v>
      </c>
      <c r="C22" s="60" t="s">
        <v>53</v>
      </c>
      <c r="D22" s="61" t="s">
        <v>1086</v>
      </c>
      <c r="E22" s="58" t="s">
        <v>1087</v>
      </c>
      <c r="F22" s="62" t="s">
        <v>45</v>
      </c>
    </row>
    <row r="23" spans="1:6" ht="24" customHeight="1">
      <c r="A23" s="63" t="s">
        <v>54</v>
      </c>
      <c r="B23" s="64" t="s">
        <v>43</v>
      </c>
      <c r="C23" s="65" t="s">
        <v>55</v>
      </c>
      <c r="D23" s="66" t="s">
        <v>1088</v>
      </c>
      <c r="E23" s="63" t="s">
        <v>1089</v>
      </c>
      <c r="F23" s="67" t="s">
        <v>45</v>
      </c>
    </row>
    <row r="24" spans="1:6" ht="24" customHeight="1">
      <c r="A24" s="58" t="s">
        <v>56</v>
      </c>
      <c r="B24" s="59" t="s">
        <v>43</v>
      </c>
      <c r="C24" s="60" t="s">
        <v>57</v>
      </c>
      <c r="D24" s="61" t="s">
        <v>1090</v>
      </c>
      <c r="E24" s="58" t="s">
        <v>1091</v>
      </c>
      <c r="F24" s="62" t="s">
        <v>45</v>
      </c>
    </row>
    <row r="25" spans="1:6" ht="24" customHeight="1">
      <c r="A25" s="63" t="s">
        <v>58</v>
      </c>
      <c r="B25" s="64" t="s">
        <v>43</v>
      </c>
      <c r="C25" s="65" t="s">
        <v>59</v>
      </c>
      <c r="D25" s="66" t="s">
        <v>1092</v>
      </c>
      <c r="E25" s="63" t="s">
        <v>1093</v>
      </c>
      <c r="F25" s="67" t="s">
        <v>45</v>
      </c>
    </row>
    <row r="26" spans="1:6" ht="24" customHeight="1">
      <c r="A26" s="58" t="s">
        <v>60</v>
      </c>
      <c r="B26" s="59" t="s">
        <v>43</v>
      </c>
      <c r="C26" s="60" t="s">
        <v>61</v>
      </c>
      <c r="D26" s="61" t="s">
        <v>1094</v>
      </c>
      <c r="E26" s="58" t="s">
        <v>1095</v>
      </c>
      <c r="F26" s="62" t="s">
        <v>45</v>
      </c>
    </row>
    <row r="27" spans="1:6" ht="24" customHeight="1">
      <c r="A27" s="63" t="s">
        <v>62</v>
      </c>
      <c r="B27" s="64" t="s">
        <v>43</v>
      </c>
      <c r="C27" s="65" t="s">
        <v>63</v>
      </c>
      <c r="D27" s="66" t="s">
        <v>1096</v>
      </c>
      <c r="E27" s="63" t="s">
        <v>1097</v>
      </c>
      <c r="F27" s="67" t="s">
        <v>45</v>
      </c>
    </row>
    <row r="28" spans="1:6" ht="24" customHeight="1">
      <c r="A28" s="58" t="s">
        <v>64</v>
      </c>
      <c r="B28" s="59" t="s">
        <v>43</v>
      </c>
      <c r="C28" s="60" t="s">
        <v>65</v>
      </c>
      <c r="D28" s="61" t="s">
        <v>1098</v>
      </c>
      <c r="E28" s="58" t="s">
        <v>1099</v>
      </c>
      <c r="F28" s="62" t="s">
        <v>45</v>
      </c>
    </row>
    <row r="29" spans="1:6" ht="24" customHeight="1">
      <c r="A29" s="63" t="s">
        <v>66</v>
      </c>
      <c r="B29" s="64" t="s">
        <v>43</v>
      </c>
      <c r="C29" s="65" t="s">
        <v>67</v>
      </c>
      <c r="D29" s="66" t="s">
        <v>1100</v>
      </c>
      <c r="E29" s="63" t="s">
        <v>1101</v>
      </c>
      <c r="F29" s="67" t="s">
        <v>45</v>
      </c>
    </row>
    <row r="30" spans="1:6" ht="24" customHeight="1">
      <c r="A30" s="58" t="s">
        <v>68</v>
      </c>
      <c r="B30" s="59" t="s">
        <v>43</v>
      </c>
      <c r="C30" s="60" t="s">
        <v>69</v>
      </c>
      <c r="D30" s="61" t="s">
        <v>1102</v>
      </c>
      <c r="E30" s="58" t="s">
        <v>1103</v>
      </c>
      <c r="F30" s="62" t="s">
        <v>45</v>
      </c>
    </row>
    <row r="31" spans="1:6" ht="24" customHeight="1">
      <c r="A31" s="63" t="s">
        <v>70</v>
      </c>
      <c r="B31" s="64" t="s">
        <v>71</v>
      </c>
      <c r="C31" s="65" t="s">
        <v>72</v>
      </c>
      <c r="D31" s="66" t="s">
        <v>1104</v>
      </c>
      <c r="E31" s="63" t="s">
        <v>1105</v>
      </c>
      <c r="F31" s="67" t="s">
        <v>45</v>
      </c>
    </row>
    <row r="32" spans="1:6" ht="24" customHeight="1">
      <c r="A32" s="58" t="s">
        <v>73</v>
      </c>
      <c r="B32" s="59" t="s">
        <v>71</v>
      </c>
      <c r="C32" s="60" t="s">
        <v>74</v>
      </c>
      <c r="D32" s="61" t="s">
        <v>1106</v>
      </c>
      <c r="E32" s="58" t="s">
        <v>1107</v>
      </c>
      <c r="F32" s="62" t="s">
        <v>45</v>
      </c>
    </row>
    <row r="33" spans="1:6" ht="24" customHeight="1">
      <c r="A33" s="63" t="s">
        <v>75</v>
      </c>
      <c r="B33" s="64" t="s">
        <v>71</v>
      </c>
      <c r="C33" s="65" t="s">
        <v>76</v>
      </c>
      <c r="D33" s="66" t="s">
        <v>1108</v>
      </c>
      <c r="E33" s="63" t="s">
        <v>1109</v>
      </c>
      <c r="F33" s="67" t="s">
        <v>45</v>
      </c>
    </row>
    <row r="34" spans="1:6" ht="24" customHeight="1">
      <c r="A34" s="58" t="s">
        <v>77</v>
      </c>
      <c r="B34" s="59" t="s">
        <v>71</v>
      </c>
      <c r="C34" s="60" t="s">
        <v>78</v>
      </c>
      <c r="D34" s="61" t="s">
        <v>1110</v>
      </c>
      <c r="E34" s="58" t="s">
        <v>1111</v>
      </c>
      <c r="F34" s="62" t="s">
        <v>45</v>
      </c>
    </row>
    <row r="35" spans="1:6" ht="24" customHeight="1">
      <c r="A35" s="63" t="s">
        <v>79</v>
      </c>
      <c r="B35" s="64" t="s">
        <v>71</v>
      </c>
      <c r="C35" s="65" t="s">
        <v>80</v>
      </c>
      <c r="D35" s="66" t="s">
        <v>1112</v>
      </c>
      <c r="E35" s="63" t="s">
        <v>1113</v>
      </c>
      <c r="F35" s="67" t="s">
        <v>45</v>
      </c>
    </row>
    <row r="36" spans="1:6" ht="24" customHeight="1">
      <c r="A36" s="58" t="s">
        <v>81</v>
      </c>
      <c r="B36" s="59" t="s">
        <v>71</v>
      </c>
      <c r="C36" s="60" t="s">
        <v>82</v>
      </c>
      <c r="D36" s="61" t="s">
        <v>1114</v>
      </c>
      <c r="E36" s="58" t="s">
        <v>1115</v>
      </c>
      <c r="F36" s="62" t="s">
        <v>45</v>
      </c>
    </row>
    <row r="37" spans="1:6" ht="24" customHeight="1">
      <c r="A37" s="63" t="s">
        <v>83</v>
      </c>
      <c r="B37" s="64" t="s">
        <v>71</v>
      </c>
      <c r="C37" s="65" t="s">
        <v>84</v>
      </c>
      <c r="D37" s="66" t="s">
        <v>1116</v>
      </c>
      <c r="E37" s="63" t="s">
        <v>1117</v>
      </c>
      <c r="F37" s="67" t="s">
        <v>45</v>
      </c>
    </row>
    <row r="38" spans="1:6" ht="24" customHeight="1">
      <c r="A38" s="58" t="s">
        <v>85</v>
      </c>
      <c r="B38" s="59" t="s">
        <v>71</v>
      </c>
      <c r="C38" s="60" t="s">
        <v>86</v>
      </c>
      <c r="D38" s="61" t="s">
        <v>1118</v>
      </c>
      <c r="E38" s="58" t="s">
        <v>1119</v>
      </c>
      <c r="F38" s="62" t="s">
        <v>45</v>
      </c>
    </row>
    <row r="39" spans="1:6" ht="24" customHeight="1">
      <c r="A39" s="63" t="s">
        <v>87</v>
      </c>
      <c r="B39" s="64" t="s">
        <v>71</v>
      </c>
      <c r="C39" s="65" t="s">
        <v>88</v>
      </c>
      <c r="D39" s="66" t="s">
        <v>1120</v>
      </c>
      <c r="E39" s="63" t="s">
        <v>1121</v>
      </c>
      <c r="F39" s="67" t="s">
        <v>45</v>
      </c>
    </row>
    <row r="40" spans="1:6" ht="24" customHeight="1">
      <c r="A40" s="58" t="s">
        <v>89</v>
      </c>
      <c r="B40" s="59" t="s">
        <v>71</v>
      </c>
      <c r="C40" s="60" t="s">
        <v>90</v>
      </c>
      <c r="D40" s="61" t="s">
        <v>1122</v>
      </c>
      <c r="E40" s="58" t="s">
        <v>1123</v>
      </c>
      <c r="F40" s="62" t="s">
        <v>45</v>
      </c>
    </row>
    <row r="41" spans="1:6" ht="24" customHeight="1">
      <c r="A41" s="63" t="s">
        <v>91</v>
      </c>
      <c r="B41" s="64" t="s">
        <v>92</v>
      </c>
      <c r="C41" s="65" t="s">
        <v>93</v>
      </c>
      <c r="D41" s="66" t="s">
        <v>1124</v>
      </c>
      <c r="E41" s="63" t="s">
        <v>1125</v>
      </c>
      <c r="F41" s="67" t="s">
        <v>45</v>
      </c>
    </row>
    <row r="42" spans="1:6" ht="24" customHeight="1">
      <c r="A42" s="58" t="s">
        <v>94</v>
      </c>
      <c r="B42" s="59" t="s">
        <v>92</v>
      </c>
      <c r="C42" s="60" t="s">
        <v>95</v>
      </c>
      <c r="D42" s="61" t="s">
        <v>1126</v>
      </c>
      <c r="E42" s="58" t="s">
        <v>1127</v>
      </c>
      <c r="F42" s="62" t="s">
        <v>45</v>
      </c>
    </row>
    <row r="43" spans="1:6" ht="24" customHeight="1">
      <c r="A43" s="63" t="s">
        <v>96</v>
      </c>
      <c r="B43" s="64" t="s">
        <v>92</v>
      </c>
      <c r="C43" s="65" t="s">
        <v>97</v>
      </c>
      <c r="D43" s="66" t="s">
        <v>1128</v>
      </c>
      <c r="E43" s="63" t="s">
        <v>1129</v>
      </c>
      <c r="F43" s="67" t="s">
        <v>45</v>
      </c>
    </row>
    <row r="44" spans="1:6" ht="24" customHeight="1">
      <c r="A44" s="58" t="s">
        <v>98</v>
      </c>
      <c r="B44" s="59" t="s">
        <v>92</v>
      </c>
      <c r="C44" s="60" t="s">
        <v>99</v>
      </c>
      <c r="D44" s="61" t="s">
        <v>1130</v>
      </c>
      <c r="E44" s="58" t="s">
        <v>1131</v>
      </c>
      <c r="F44" s="62" t="s">
        <v>45</v>
      </c>
    </row>
    <row r="45" spans="1:6" ht="24" customHeight="1">
      <c r="A45" s="63" t="s">
        <v>100</v>
      </c>
      <c r="B45" s="64" t="s">
        <v>92</v>
      </c>
      <c r="C45" s="65" t="s">
        <v>101</v>
      </c>
      <c r="D45" s="66" t="s">
        <v>1132</v>
      </c>
      <c r="E45" s="63" t="s">
        <v>1133</v>
      </c>
      <c r="F45" s="67" t="s">
        <v>45</v>
      </c>
    </row>
    <row r="46" spans="1:6" ht="24" customHeight="1">
      <c r="A46" s="58" t="s">
        <v>102</v>
      </c>
      <c r="B46" s="59" t="s">
        <v>92</v>
      </c>
      <c r="C46" s="60" t="s">
        <v>103</v>
      </c>
      <c r="D46" s="61" t="s">
        <v>1134</v>
      </c>
      <c r="E46" s="58" t="s">
        <v>1135</v>
      </c>
      <c r="F46" s="62" t="s">
        <v>45</v>
      </c>
    </row>
    <row r="47" spans="1:6" ht="24" customHeight="1">
      <c r="A47" s="63" t="s">
        <v>104</v>
      </c>
      <c r="B47" s="64" t="s">
        <v>92</v>
      </c>
      <c r="C47" s="65" t="s">
        <v>105</v>
      </c>
      <c r="D47" s="66" t="s">
        <v>1136</v>
      </c>
      <c r="E47" s="63" t="s">
        <v>1137</v>
      </c>
      <c r="F47" s="67" t="s">
        <v>45</v>
      </c>
    </row>
    <row r="48" spans="1:6" ht="24" customHeight="1">
      <c r="A48" s="58" t="s">
        <v>106</v>
      </c>
      <c r="B48" s="59" t="s">
        <v>92</v>
      </c>
      <c r="C48" s="60" t="s">
        <v>107</v>
      </c>
      <c r="D48" s="61" t="s">
        <v>1138</v>
      </c>
      <c r="E48" s="58" t="s">
        <v>1139</v>
      </c>
      <c r="F48" s="62" t="s">
        <v>45</v>
      </c>
    </row>
    <row r="49" spans="1:6" ht="24" customHeight="1">
      <c r="A49" s="63" t="s">
        <v>108</v>
      </c>
      <c r="B49" s="64" t="s">
        <v>92</v>
      </c>
      <c r="C49" s="65" t="s">
        <v>109</v>
      </c>
      <c r="D49" s="66" t="s">
        <v>1140</v>
      </c>
      <c r="E49" s="63" t="s">
        <v>1141</v>
      </c>
      <c r="F49" s="67" t="s">
        <v>45</v>
      </c>
    </row>
    <row r="50" spans="1:6" ht="24" customHeight="1">
      <c r="A50" s="58" t="s">
        <v>110</v>
      </c>
      <c r="B50" s="59" t="s">
        <v>92</v>
      </c>
      <c r="C50" s="60" t="s">
        <v>111</v>
      </c>
      <c r="D50" s="61" t="s">
        <v>1142</v>
      </c>
      <c r="E50" s="58" t="s">
        <v>1143</v>
      </c>
      <c r="F50" s="62" t="s">
        <v>45</v>
      </c>
    </row>
    <row r="51" spans="1:6" ht="24" customHeight="1">
      <c r="A51" s="63" t="s">
        <v>112</v>
      </c>
      <c r="B51" s="64" t="s">
        <v>92</v>
      </c>
      <c r="C51" s="65" t="s">
        <v>113</v>
      </c>
      <c r="D51" s="66" t="s">
        <v>1144</v>
      </c>
      <c r="E51" s="63" t="s">
        <v>1145</v>
      </c>
      <c r="F51" s="67" t="s">
        <v>45</v>
      </c>
    </row>
    <row r="52" spans="1:6" ht="24" customHeight="1">
      <c r="A52" s="58" t="s">
        <v>114</v>
      </c>
      <c r="B52" s="59" t="s">
        <v>92</v>
      </c>
      <c r="C52" s="60" t="s">
        <v>115</v>
      </c>
      <c r="D52" s="61" t="s">
        <v>1146</v>
      </c>
      <c r="E52" s="58" t="s">
        <v>1147</v>
      </c>
      <c r="F52" s="62" t="s">
        <v>45</v>
      </c>
    </row>
    <row r="53" spans="1:6" ht="24" customHeight="1">
      <c r="A53" s="63" t="s">
        <v>116</v>
      </c>
      <c r="B53" s="64" t="s">
        <v>92</v>
      </c>
      <c r="C53" s="65" t="s">
        <v>117</v>
      </c>
      <c r="D53" s="66" t="s">
        <v>1148</v>
      </c>
      <c r="E53" s="63" t="s">
        <v>1149</v>
      </c>
      <c r="F53" s="67" t="s">
        <v>45</v>
      </c>
    </row>
    <row r="54" spans="1:6" ht="24" customHeight="1">
      <c r="A54" s="58" t="s">
        <v>118</v>
      </c>
      <c r="B54" s="59" t="s">
        <v>92</v>
      </c>
      <c r="C54" s="60" t="s">
        <v>119</v>
      </c>
      <c r="D54" s="61" t="s">
        <v>1150</v>
      </c>
      <c r="E54" s="58" t="s">
        <v>1151</v>
      </c>
      <c r="F54" s="62" t="s">
        <v>45</v>
      </c>
    </row>
    <row r="55" spans="1:6" ht="24" customHeight="1">
      <c r="A55" s="63" t="s">
        <v>120</v>
      </c>
      <c r="B55" s="64" t="s">
        <v>92</v>
      </c>
      <c r="C55" s="65" t="s">
        <v>121</v>
      </c>
      <c r="D55" s="66" t="s">
        <v>1152</v>
      </c>
      <c r="E55" s="63" t="s">
        <v>1153</v>
      </c>
      <c r="F55" s="67" t="s">
        <v>45</v>
      </c>
    </row>
    <row r="56" spans="1:6" ht="24" customHeight="1">
      <c r="A56" s="58" t="s">
        <v>122</v>
      </c>
      <c r="B56" s="59" t="s">
        <v>92</v>
      </c>
      <c r="C56" s="60" t="s">
        <v>123</v>
      </c>
      <c r="D56" s="61" t="s">
        <v>1154</v>
      </c>
      <c r="E56" s="58" t="s">
        <v>1155</v>
      </c>
      <c r="F56" s="62" t="s">
        <v>45</v>
      </c>
    </row>
    <row r="57" spans="1:6" ht="24" customHeight="1">
      <c r="A57" s="63" t="s">
        <v>124</v>
      </c>
      <c r="B57" s="64" t="s">
        <v>92</v>
      </c>
      <c r="C57" s="65" t="s">
        <v>125</v>
      </c>
      <c r="D57" s="66" t="s">
        <v>1156</v>
      </c>
      <c r="E57" s="63" t="s">
        <v>1157</v>
      </c>
      <c r="F57" s="67" t="s">
        <v>45</v>
      </c>
    </row>
    <row r="58" spans="1:6" ht="24" customHeight="1">
      <c r="A58" s="58" t="s">
        <v>126</v>
      </c>
      <c r="B58" s="59" t="s">
        <v>92</v>
      </c>
      <c r="C58" s="60" t="s">
        <v>127</v>
      </c>
      <c r="D58" s="61" t="s">
        <v>1158</v>
      </c>
      <c r="E58" s="58" t="s">
        <v>1159</v>
      </c>
      <c r="F58" s="62" t="s">
        <v>45</v>
      </c>
    </row>
    <row r="59" spans="1:6" ht="24" customHeight="1">
      <c r="A59" s="63" t="s">
        <v>128</v>
      </c>
      <c r="B59" s="64" t="s">
        <v>129</v>
      </c>
      <c r="C59" s="65" t="s">
        <v>130</v>
      </c>
      <c r="D59" s="66" t="s">
        <v>1160</v>
      </c>
      <c r="E59" s="63" t="s">
        <v>1161</v>
      </c>
      <c r="F59" s="67" t="s">
        <v>45</v>
      </c>
    </row>
    <row r="60" spans="1:6" ht="24" customHeight="1">
      <c r="A60" s="58" t="s">
        <v>131</v>
      </c>
      <c r="B60" s="59" t="s">
        <v>129</v>
      </c>
      <c r="C60" s="60" t="s">
        <v>132</v>
      </c>
      <c r="D60" s="61" t="s">
        <v>1162</v>
      </c>
      <c r="E60" s="58" t="s">
        <v>1163</v>
      </c>
      <c r="F60" s="62" t="s">
        <v>45</v>
      </c>
    </row>
    <row r="61" spans="1:6" ht="24" customHeight="1">
      <c r="A61" s="63" t="s">
        <v>133</v>
      </c>
      <c r="B61" s="64" t="s">
        <v>129</v>
      </c>
      <c r="C61" s="65" t="s">
        <v>134</v>
      </c>
      <c r="D61" s="66" t="s">
        <v>1164</v>
      </c>
      <c r="E61" s="63" t="s">
        <v>1165</v>
      </c>
      <c r="F61" s="67" t="s">
        <v>45</v>
      </c>
    </row>
    <row r="62" spans="1:6" ht="24" customHeight="1">
      <c r="A62" s="58" t="s">
        <v>135</v>
      </c>
      <c r="B62" s="59" t="s">
        <v>129</v>
      </c>
      <c r="C62" s="60" t="s">
        <v>136</v>
      </c>
      <c r="D62" s="61" t="s">
        <v>1166</v>
      </c>
      <c r="E62" s="58" t="s">
        <v>1167</v>
      </c>
      <c r="F62" s="62" t="s">
        <v>45</v>
      </c>
    </row>
    <row r="63" spans="1:6" ht="24" customHeight="1">
      <c r="A63" s="63" t="s">
        <v>137</v>
      </c>
      <c r="B63" s="64" t="s">
        <v>129</v>
      </c>
      <c r="C63" s="65" t="s">
        <v>138</v>
      </c>
      <c r="D63" s="66" t="s">
        <v>1168</v>
      </c>
      <c r="E63" s="63" t="s">
        <v>1169</v>
      </c>
      <c r="F63" s="67" t="s">
        <v>45</v>
      </c>
    </row>
    <row r="64" spans="1:6" ht="24" customHeight="1">
      <c r="A64" s="58" t="s">
        <v>139</v>
      </c>
      <c r="B64" s="59" t="s">
        <v>129</v>
      </c>
      <c r="C64" s="60" t="s">
        <v>140</v>
      </c>
      <c r="D64" s="61" t="s">
        <v>1170</v>
      </c>
      <c r="E64" s="58" t="s">
        <v>1171</v>
      </c>
      <c r="F64" s="62" t="s">
        <v>45</v>
      </c>
    </row>
    <row r="65" spans="1:6" ht="24" customHeight="1">
      <c r="A65" s="63" t="s">
        <v>141</v>
      </c>
      <c r="B65" s="64" t="s">
        <v>129</v>
      </c>
      <c r="C65" s="65" t="s">
        <v>142</v>
      </c>
      <c r="D65" s="66" t="s">
        <v>1172</v>
      </c>
      <c r="E65" s="63" t="s">
        <v>1173</v>
      </c>
      <c r="F65" s="67" t="s">
        <v>45</v>
      </c>
    </row>
    <row r="66" spans="1:6" ht="24" customHeight="1">
      <c r="A66" s="58" t="s">
        <v>143</v>
      </c>
      <c r="B66" s="59" t="s">
        <v>129</v>
      </c>
      <c r="C66" s="60" t="s">
        <v>144</v>
      </c>
      <c r="D66" s="61" t="s">
        <v>1174</v>
      </c>
      <c r="E66" s="58" t="s">
        <v>1175</v>
      </c>
      <c r="F66" s="62" t="s">
        <v>45</v>
      </c>
    </row>
    <row r="67" spans="1:6" ht="24" customHeight="1">
      <c r="A67" s="63" t="s">
        <v>145</v>
      </c>
      <c r="B67" s="64" t="s">
        <v>129</v>
      </c>
      <c r="C67" s="65" t="s">
        <v>146</v>
      </c>
      <c r="D67" s="66" t="s">
        <v>1176</v>
      </c>
      <c r="E67" s="63" t="s">
        <v>1177</v>
      </c>
      <c r="F67" s="67" t="s">
        <v>45</v>
      </c>
    </row>
    <row r="68" spans="1:6" ht="24" customHeight="1">
      <c r="A68" s="58" t="s">
        <v>147</v>
      </c>
      <c r="B68" s="59" t="s">
        <v>129</v>
      </c>
      <c r="C68" s="60" t="s">
        <v>148</v>
      </c>
      <c r="D68" s="61" t="s">
        <v>1178</v>
      </c>
      <c r="E68" s="58" t="s">
        <v>1179</v>
      </c>
      <c r="F68" s="62" t="s">
        <v>45</v>
      </c>
    </row>
    <row r="69" spans="1:6" ht="24" customHeight="1">
      <c r="A69" s="63" t="s">
        <v>149</v>
      </c>
      <c r="B69" s="64" t="s">
        <v>129</v>
      </c>
      <c r="C69" s="65" t="s">
        <v>150</v>
      </c>
      <c r="D69" s="66" t="s">
        <v>1180</v>
      </c>
      <c r="E69" s="63" t="s">
        <v>1181</v>
      </c>
      <c r="F69" s="67" t="s">
        <v>45</v>
      </c>
    </row>
    <row r="70" spans="1:6" ht="24" customHeight="1">
      <c r="A70" s="58" t="s">
        <v>151</v>
      </c>
      <c r="B70" s="59" t="s">
        <v>129</v>
      </c>
      <c r="C70" s="60" t="s">
        <v>152</v>
      </c>
      <c r="D70" s="61" t="s">
        <v>1182</v>
      </c>
      <c r="E70" s="58" t="s">
        <v>1183</v>
      </c>
      <c r="F70" s="62" t="s">
        <v>45</v>
      </c>
    </row>
    <row r="71" spans="1:6" ht="24" customHeight="1">
      <c r="A71" s="63" t="s">
        <v>153</v>
      </c>
      <c r="B71" s="64" t="s">
        <v>129</v>
      </c>
      <c r="C71" s="65" t="s">
        <v>154</v>
      </c>
      <c r="D71" s="66" t="s">
        <v>1184</v>
      </c>
      <c r="E71" s="63" t="s">
        <v>1185</v>
      </c>
      <c r="F71" s="67" t="s">
        <v>45</v>
      </c>
    </row>
    <row r="72" spans="1:6" ht="24" customHeight="1">
      <c r="A72" s="58" t="s">
        <v>155</v>
      </c>
      <c r="B72" s="59" t="s">
        <v>129</v>
      </c>
      <c r="C72" s="60" t="s">
        <v>156</v>
      </c>
      <c r="D72" s="61" t="s">
        <v>1186</v>
      </c>
      <c r="E72" s="58" t="s">
        <v>1187</v>
      </c>
      <c r="F72" s="62" t="s">
        <v>45</v>
      </c>
    </row>
    <row r="73" spans="1:6" ht="24" customHeight="1">
      <c r="A73" s="63" t="s">
        <v>157</v>
      </c>
      <c r="B73" s="64" t="s">
        <v>129</v>
      </c>
      <c r="C73" s="65" t="s">
        <v>158</v>
      </c>
      <c r="D73" s="66" t="s">
        <v>1188</v>
      </c>
      <c r="E73" s="63" t="s">
        <v>1189</v>
      </c>
      <c r="F73" s="67" t="s">
        <v>45</v>
      </c>
    </row>
    <row r="74" spans="1:6" ht="24" customHeight="1">
      <c r="A74" s="58" t="s">
        <v>159</v>
      </c>
      <c r="B74" s="59" t="s">
        <v>8</v>
      </c>
      <c r="C74" s="60" t="s">
        <v>160</v>
      </c>
      <c r="D74" s="61" t="s">
        <v>1190</v>
      </c>
      <c r="E74" s="58" t="s">
        <v>1191</v>
      </c>
      <c r="F74" s="62" t="s">
        <v>45</v>
      </c>
    </row>
    <row r="75" spans="1:6" ht="24" customHeight="1">
      <c r="A75" s="63" t="s">
        <v>161</v>
      </c>
      <c r="B75" s="64" t="s">
        <v>8</v>
      </c>
      <c r="C75" s="65" t="s">
        <v>162</v>
      </c>
      <c r="D75" s="66" t="s">
        <v>1192</v>
      </c>
      <c r="E75" s="63" t="s">
        <v>1193</v>
      </c>
      <c r="F75" s="67" t="s">
        <v>45</v>
      </c>
    </row>
    <row r="76" spans="1:6" ht="24" customHeight="1">
      <c r="A76" s="58" t="s">
        <v>163</v>
      </c>
      <c r="B76" s="59" t="s">
        <v>8</v>
      </c>
      <c r="C76" s="60" t="s">
        <v>164</v>
      </c>
      <c r="D76" s="61" t="s">
        <v>1194</v>
      </c>
      <c r="E76" s="58" t="s">
        <v>1195</v>
      </c>
      <c r="F76" s="62" t="s">
        <v>45</v>
      </c>
    </row>
    <row r="77" spans="1:6" ht="24" customHeight="1">
      <c r="A77" s="63" t="s">
        <v>165</v>
      </c>
      <c r="B77" s="64" t="s">
        <v>8</v>
      </c>
      <c r="C77" s="65" t="s">
        <v>166</v>
      </c>
      <c r="D77" s="66" t="s">
        <v>1196</v>
      </c>
      <c r="E77" s="63" t="s">
        <v>1197</v>
      </c>
      <c r="F77" s="67" t="s">
        <v>45</v>
      </c>
    </row>
    <row r="78" spans="1:6" ht="24" customHeight="1">
      <c r="A78" s="58" t="s">
        <v>167</v>
      </c>
      <c r="B78" s="59" t="s">
        <v>8</v>
      </c>
      <c r="C78" s="60" t="s">
        <v>168</v>
      </c>
      <c r="D78" s="61" t="s">
        <v>1198</v>
      </c>
      <c r="E78" s="58" t="s">
        <v>1199</v>
      </c>
      <c r="F78" s="62" t="s">
        <v>45</v>
      </c>
    </row>
    <row r="79" spans="1:6" ht="24" customHeight="1">
      <c r="A79" s="63" t="s">
        <v>169</v>
      </c>
      <c r="B79" s="64" t="s">
        <v>8</v>
      </c>
      <c r="C79" s="65" t="s">
        <v>170</v>
      </c>
      <c r="D79" s="66" t="s">
        <v>1200</v>
      </c>
      <c r="E79" s="63" t="s">
        <v>1201</v>
      </c>
      <c r="F79" s="67" t="s">
        <v>45</v>
      </c>
    </row>
    <row r="80" spans="1:6" ht="24" customHeight="1">
      <c r="A80" s="58" t="s">
        <v>171</v>
      </c>
      <c r="B80" s="59" t="s">
        <v>8</v>
      </c>
      <c r="C80" s="60" t="s">
        <v>172</v>
      </c>
      <c r="D80" s="61" t="s">
        <v>1202</v>
      </c>
      <c r="E80" s="58" t="s">
        <v>1203</v>
      </c>
      <c r="F80" s="62" t="s">
        <v>45</v>
      </c>
    </row>
    <row r="81" spans="1:6" ht="24" customHeight="1">
      <c r="A81" s="63" t="s">
        <v>173</v>
      </c>
      <c r="B81" s="64" t="s">
        <v>8</v>
      </c>
      <c r="C81" s="65" t="s">
        <v>174</v>
      </c>
      <c r="D81" s="66" t="s">
        <v>1204</v>
      </c>
      <c r="E81" s="63" t="s">
        <v>1205</v>
      </c>
      <c r="F81" s="67" t="s">
        <v>45</v>
      </c>
    </row>
    <row r="82" spans="1:6" ht="24" customHeight="1">
      <c r="A82" s="58" t="s">
        <v>175</v>
      </c>
      <c r="B82" s="59" t="s">
        <v>8</v>
      </c>
      <c r="C82" s="60" t="s">
        <v>176</v>
      </c>
      <c r="D82" s="61" t="s">
        <v>1206</v>
      </c>
      <c r="E82" s="58" t="s">
        <v>1207</v>
      </c>
      <c r="F82" s="62" t="s">
        <v>45</v>
      </c>
    </row>
    <row r="83" spans="1:6" ht="24" customHeight="1">
      <c r="A83" s="63" t="s">
        <v>177</v>
      </c>
      <c r="B83" s="64" t="s">
        <v>8</v>
      </c>
      <c r="C83" s="65" t="s">
        <v>178</v>
      </c>
      <c r="D83" s="66" t="s">
        <v>1208</v>
      </c>
      <c r="E83" s="63" t="s">
        <v>1209</v>
      </c>
      <c r="F83" s="67" t="s">
        <v>45</v>
      </c>
    </row>
    <row r="84" spans="1:6" ht="24" customHeight="1">
      <c r="A84" s="58" t="s">
        <v>179</v>
      </c>
      <c r="B84" s="59" t="s">
        <v>8</v>
      </c>
      <c r="C84" s="60" t="s">
        <v>180</v>
      </c>
      <c r="D84" s="61" t="s">
        <v>1210</v>
      </c>
      <c r="E84" s="58" t="s">
        <v>1211</v>
      </c>
      <c r="F84" s="62" t="s">
        <v>45</v>
      </c>
    </row>
    <row r="85" spans="1:6" ht="24" customHeight="1">
      <c r="A85" s="63" t="s">
        <v>181</v>
      </c>
      <c r="B85" s="64" t="s">
        <v>8</v>
      </c>
      <c r="C85" s="65" t="s">
        <v>182</v>
      </c>
      <c r="D85" s="66" t="s">
        <v>1212</v>
      </c>
      <c r="E85" s="63" t="s">
        <v>1213</v>
      </c>
      <c r="F85" s="67" t="s">
        <v>45</v>
      </c>
    </row>
    <row r="86" spans="1:6" ht="24" customHeight="1">
      <c r="A86" s="58" t="s">
        <v>183</v>
      </c>
      <c r="B86" s="59" t="s">
        <v>8</v>
      </c>
      <c r="C86" s="60" t="s">
        <v>184</v>
      </c>
      <c r="D86" s="61" t="s">
        <v>1214</v>
      </c>
      <c r="E86" s="58" t="s">
        <v>1215</v>
      </c>
      <c r="F86" s="62" t="s">
        <v>45</v>
      </c>
    </row>
    <row r="87" spans="1:6" ht="24" customHeight="1">
      <c r="A87" s="63" t="s">
        <v>185</v>
      </c>
      <c r="B87" s="64" t="s">
        <v>8</v>
      </c>
      <c r="C87" s="65" t="s">
        <v>186</v>
      </c>
      <c r="D87" s="66" t="s">
        <v>1216</v>
      </c>
      <c r="E87" s="63" t="s">
        <v>1217</v>
      </c>
      <c r="F87" s="67" t="s">
        <v>45</v>
      </c>
    </row>
    <row r="88" spans="1:6" ht="24" customHeight="1">
      <c r="A88" s="58" t="s">
        <v>187</v>
      </c>
      <c r="B88" s="59" t="s">
        <v>8</v>
      </c>
      <c r="C88" s="60" t="s">
        <v>188</v>
      </c>
      <c r="D88" s="61" t="s">
        <v>1218</v>
      </c>
      <c r="E88" s="58" t="s">
        <v>1219</v>
      </c>
      <c r="F88" s="62" t="s">
        <v>45</v>
      </c>
    </row>
    <row r="89" spans="1:6" ht="24" customHeight="1">
      <c r="A89" s="63" t="s">
        <v>189</v>
      </c>
      <c r="B89" s="64" t="s">
        <v>8</v>
      </c>
      <c r="C89" s="65" t="s">
        <v>190</v>
      </c>
      <c r="D89" s="66" t="s">
        <v>1220</v>
      </c>
      <c r="E89" s="63" t="s">
        <v>1221</v>
      </c>
      <c r="F89" s="67" t="s">
        <v>45</v>
      </c>
    </row>
    <row r="90" spans="1:6" ht="24" customHeight="1">
      <c r="A90" s="58" t="s">
        <v>191</v>
      </c>
      <c r="B90" s="59" t="s">
        <v>8</v>
      </c>
      <c r="C90" s="60" t="s">
        <v>192</v>
      </c>
      <c r="D90" s="61" t="s">
        <v>1222</v>
      </c>
      <c r="E90" s="58" t="s">
        <v>1223</v>
      </c>
      <c r="F90" s="62" t="s">
        <v>45</v>
      </c>
    </row>
    <row r="91" spans="1:6" ht="24" customHeight="1">
      <c r="A91" s="63" t="s">
        <v>193</v>
      </c>
      <c r="B91" s="64" t="s">
        <v>8</v>
      </c>
      <c r="C91" s="65" t="s">
        <v>194</v>
      </c>
      <c r="D91" s="66" t="s">
        <v>1224</v>
      </c>
      <c r="E91" s="63" t="s">
        <v>1225</v>
      </c>
      <c r="F91" s="67" t="s">
        <v>45</v>
      </c>
    </row>
    <row r="92" spans="1:6" ht="24" customHeight="1">
      <c r="A92" s="58" t="s">
        <v>195</v>
      </c>
      <c r="B92" s="59" t="s">
        <v>8</v>
      </c>
      <c r="C92" s="60" t="s">
        <v>196</v>
      </c>
      <c r="D92" s="61" t="s">
        <v>1226</v>
      </c>
      <c r="E92" s="58" t="s">
        <v>1227</v>
      </c>
      <c r="F92" s="62" t="s">
        <v>45</v>
      </c>
    </row>
    <row r="93" spans="1:6" ht="24" customHeight="1">
      <c r="A93" s="63" t="s">
        <v>197</v>
      </c>
      <c r="B93" s="64" t="s">
        <v>8</v>
      </c>
      <c r="C93" s="65" t="s">
        <v>198</v>
      </c>
      <c r="D93" s="66" t="s">
        <v>1228</v>
      </c>
      <c r="E93" s="63" t="s">
        <v>1229</v>
      </c>
      <c r="F93" s="67" t="s">
        <v>45</v>
      </c>
    </row>
    <row r="94" spans="1:6" ht="24" customHeight="1">
      <c r="A94" s="58" t="s">
        <v>199</v>
      </c>
      <c r="B94" s="59" t="s">
        <v>8</v>
      </c>
      <c r="C94" s="60" t="s">
        <v>200</v>
      </c>
      <c r="D94" s="61" t="s">
        <v>1230</v>
      </c>
      <c r="E94" s="58" t="s">
        <v>1231</v>
      </c>
      <c r="F94" s="62" t="s">
        <v>45</v>
      </c>
    </row>
    <row r="95" spans="1:6" ht="24" customHeight="1">
      <c r="A95" s="63" t="s">
        <v>201</v>
      </c>
      <c r="B95" s="64" t="s">
        <v>8</v>
      </c>
      <c r="C95" s="65" t="s">
        <v>202</v>
      </c>
      <c r="D95" s="66" t="s">
        <v>1232</v>
      </c>
      <c r="E95" s="63" t="s">
        <v>1233</v>
      </c>
      <c r="F95" s="67" t="s">
        <v>45</v>
      </c>
    </row>
    <row r="96" spans="1:6" ht="24" customHeight="1">
      <c r="A96" s="58" t="s">
        <v>203</v>
      </c>
      <c r="B96" s="59" t="s">
        <v>8</v>
      </c>
      <c r="C96" s="60" t="s">
        <v>204</v>
      </c>
      <c r="D96" s="61" t="s">
        <v>1234</v>
      </c>
      <c r="E96" s="58" t="s">
        <v>1235</v>
      </c>
      <c r="F96" s="62" t="s">
        <v>45</v>
      </c>
    </row>
    <row r="97" spans="1:6" ht="24" customHeight="1">
      <c r="A97" s="63" t="s">
        <v>205</v>
      </c>
      <c r="B97" s="64" t="s">
        <v>8</v>
      </c>
      <c r="C97" s="65" t="s">
        <v>206</v>
      </c>
      <c r="D97" s="66" t="s">
        <v>1236</v>
      </c>
      <c r="E97" s="63" t="s">
        <v>1237</v>
      </c>
      <c r="F97" s="67" t="s">
        <v>45</v>
      </c>
    </row>
    <row r="98" spans="1:6" ht="24" customHeight="1">
      <c r="A98" s="58" t="s">
        <v>207</v>
      </c>
      <c r="B98" s="59" t="s">
        <v>26</v>
      </c>
      <c r="C98" s="60" t="s">
        <v>208</v>
      </c>
      <c r="D98" s="61" t="s">
        <v>1238</v>
      </c>
      <c r="E98" s="58" t="s">
        <v>1239</v>
      </c>
      <c r="F98" s="62" t="s">
        <v>45</v>
      </c>
    </row>
    <row r="99" spans="1:6" ht="24" customHeight="1">
      <c r="A99" s="63" t="s">
        <v>209</v>
      </c>
      <c r="B99" s="64" t="s">
        <v>26</v>
      </c>
      <c r="C99" s="65" t="s">
        <v>210</v>
      </c>
      <c r="D99" s="66" t="s">
        <v>1240</v>
      </c>
      <c r="E99" s="63" t="s">
        <v>1241</v>
      </c>
      <c r="F99" s="67" t="s">
        <v>45</v>
      </c>
    </row>
    <row r="100" spans="1:6" ht="24" customHeight="1">
      <c r="A100" s="58" t="s">
        <v>211</v>
      </c>
      <c r="B100" s="59" t="s">
        <v>26</v>
      </c>
      <c r="C100" s="60" t="s">
        <v>212</v>
      </c>
      <c r="D100" s="61" t="s">
        <v>1242</v>
      </c>
      <c r="E100" s="58" t="s">
        <v>1243</v>
      </c>
      <c r="F100" s="62" t="s">
        <v>45</v>
      </c>
    </row>
    <row r="101" spans="1:6" ht="24" customHeight="1">
      <c r="A101" s="63" t="s">
        <v>213</v>
      </c>
      <c r="B101" s="64" t="s">
        <v>26</v>
      </c>
      <c r="C101" s="65" t="s">
        <v>214</v>
      </c>
      <c r="D101" s="66" t="s">
        <v>1244</v>
      </c>
      <c r="E101" s="63" t="s">
        <v>1245</v>
      </c>
      <c r="F101" s="67" t="s">
        <v>45</v>
      </c>
    </row>
    <row r="102" spans="1:6" ht="24" customHeight="1">
      <c r="A102" s="58" t="s">
        <v>215</v>
      </c>
      <c r="B102" s="59" t="s">
        <v>26</v>
      </c>
      <c r="C102" s="60" t="s">
        <v>216</v>
      </c>
      <c r="D102" s="61" t="s">
        <v>1246</v>
      </c>
      <c r="E102" s="58" t="s">
        <v>1247</v>
      </c>
      <c r="F102" s="62" t="s">
        <v>45</v>
      </c>
    </row>
    <row r="103" spans="1:6" ht="24" customHeight="1">
      <c r="A103" s="63" t="s">
        <v>217</v>
      </c>
      <c r="B103" s="64" t="s">
        <v>26</v>
      </c>
      <c r="C103" s="65" t="s">
        <v>218</v>
      </c>
      <c r="D103" s="66" t="s">
        <v>1248</v>
      </c>
      <c r="E103" s="63" t="s">
        <v>1249</v>
      </c>
      <c r="F103" s="67" t="s">
        <v>45</v>
      </c>
    </row>
    <row r="104" spans="1:6" ht="24" customHeight="1">
      <c r="A104" s="58" t="s">
        <v>219</v>
      </c>
      <c r="B104" s="59" t="s">
        <v>26</v>
      </c>
      <c r="C104" s="60" t="s">
        <v>220</v>
      </c>
      <c r="D104" s="61" t="s">
        <v>1250</v>
      </c>
      <c r="E104" s="58" t="s">
        <v>1251</v>
      </c>
      <c r="F104" s="62" t="s">
        <v>45</v>
      </c>
    </row>
    <row r="105" spans="1:6" ht="24" customHeight="1">
      <c r="A105" s="63" t="s">
        <v>221</v>
      </c>
      <c r="B105" s="64" t="s">
        <v>26</v>
      </c>
      <c r="C105" s="65" t="s">
        <v>222</v>
      </c>
      <c r="D105" s="66" t="s">
        <v>1252</v>
      </c>
      <c r="E105" s="63" t="s">
        <v>1253</v>
      </c>
      <c r="F105" s="67" t="s">
        <v>45</v>
      </c>
    </row>
    <row r="106" spans="1:6" ht="24" customHeight="1">
      <c r="A106" s="58" t="s">
        <v>223</v>
      </c>
      <c r="B106" s="59" t="s">
        <v>26</v>
      </c>
      <c r="C106" s="60" t="s">
        <v>224</v>
      </c>
      <c r="D106" s="61" t="s">
        <v>1254</v>
      </c>
      <c r="E106" s="58" t="s">
        <v>1255</v>
      </c>
      <c r="F106" s="62" t="s">
        <v>45</v>
      </c>
    </row>
    <row r="107" spans="1:6" ht="24" customHeight="1">
      <c r="A107" s="63" t="s">
        <v>225</v>
      </c>
      <c r="B107" s="64" t="s">
        <v>26</v>
      </c>
      <c r="C107" s="65" t="s">
        <v>226</v>
      </c>
      <c r="D107" s="66" t="s">
        <v>1256</v>
      </c>
      <c r="E107" s="63" t="s">
        <v>1257</v>
      </c>
      <c r="F107" s="67" t="s">
        <v>45</v>
      </c>
    </row>
    <row r="108" spans="1:6" ht="24" customHeight="1">
      <c r="A108" s="58" t="s">
        <v>227</v>
      </c>
      <c r="B108" s="59" t="s">
        <v>26</v>
      </c>
      <c r="C108" s="60" t="s">
        <v>228</v>
      </c>
      <c r="D108" s="61" t="s">
        <v>1258</v>
      </c>
      <c r="E108" s="58" t="s">
        <v>1259</v>
      </c>
      <c r="F108" s="62" t="s">
        <v>45</v>
      </c>
    </row>
    <row r="109" spans="1:6" ht="24" customHeight="1">
      <c r="A109" s="63" t="s">
        <v>229</v>
      </c>
      <c r="B109" s="64" t="s">
        <v>26</v>
      </c>
      <c r="C109" s="65" t="s">
        <v>230</v>
      </c>
      <c r="D109" s="66" t="s">
        <v>1260</v>
      </c>
      <c r="E109" s="63" t="s">
        <v>1261</v>
      </c>
      <c r="F109" s="67" t="s">
        <v>45</v>
      </c>
    </row>
    <row r="110" spans="1:6" ht="24" customHeight="1">
      <c r="A110" s="58" t="s">
        <v>231</v>
      </c>
      <c r="B110" s="59" t="s">
        <v>26</v>
      </c>
      <c r="C110" s="60" t="s">
        <v>232</v>
      </c>
      <c r="D110" s="61" t="s">
        <v>1262</v>
      </c>
      <c r="E110" s="58" t="s">
        <v>1263</v>
      </c>
      <c r="F110" s="62" t="s">
        <v>45</v>
      </c>
    </row>
    <row r="111" spans="1:6" ht="24" customHeight="1">
      <c r="A111" s="63" t="s">
        <v>233</v>
      </c>
      <c r="B111" s="64" t="s">
        <v>26</v>
      </c>
      <c r="C111" s="65" t="s">
        <v>234</v>
      </c>
      <c r="D111" s="66" t="s">
        <v>1264</v>
      </c>
      <c r="E111" s="63" t="s">
        <v>1265</v>
      </c>
      <c r="F111" s="67" t="s">
        <v>45</v>
      </c>
    </row>
    <row r="112" spans="1:6" ht="24" customHeight="1">
      <c r="A112" s="58" t="s">
        <v>235</v>
      </c>
      <c r="B112" s="59" t="s">
        <v>26</v>
      </c>
      <c r="C112" s="60" t="s">
        <v>236</v>
      </c>
      <c r="D112" s="61" t="s">
        <v>1266</v>
      </c>
      <c r="E112" s="58" t="s">
        <v>1267</v>
      </c>
      <c r="F112" s="62" t="s">
        <v>45</v>
      </c>
    </row>
    <row r="113" spans="1:6" ht="24" customHeight="1">
      <c r="A113" s="63" t="s">
        <v>237</v>
      </c>
      <c r="B113" s="64" t="s">
        <v>26</v>
      </c>
      <c r="C113" s="65" t="s">
        <v>238</v>
      </c>
      <c r="D113" s="66" t="s">
        <v>1268</v>
      </c>
      <c r="E113" s="63" t="s">
        <v>1269</v>
      </c>
      <c r="F113" s="67" t="s">
        <v>45</v>
      </c>
    </row>
    <row r="114" spans="1:6" ht="24" customHeight="1">
      <c r="A114" s="58" t="s">
        <v>239</v>
      </c>
      <c r="B114" s="59" t="s">
        <v>26</v>
      </c>
      <c r="C114" s="60" t="s">
        <v>240</v>
      </c>
      <c r="D114" s="61" t="s">
        <v>1270</v>
      </c>
      <c r="E114" s="58" t="s">
        <v>1271</v>
      </c>
      <c r="F114" s="62" t="s">
        <v>45</v>
      </c>
    </row>
    <row r="115" spans="1:6" ht="24" customHeight="1">
      <c r="A115" s="63" t="s">
        <v>241</v>
      </c>
      <c r="B115" s="64" t="s">
        <v>26</v>
      </c>
      <c r="C115" s="65" t="s">
        <v>242</v>
      </c>
      <c r="D115" s="66" t="s">
        <v>1272</v>
      </c>
      <c r="E115" s="63" t="s">
        <v>1273</v>
      </c>
      <c r="F115" s="67" t="s">
        <v>45</v>
      </c>
    </row>
    <row r="116" spans="1:6" ht="24" customHeight="1">
      <c r="A116" s="58" t="s">
        <v>243</v>
      </c>
      <c r="B116" s="59" t="s">
        <v>26</v>
      </c>
      <c r="C116" s="60" t="s">
        <v>244</v>
      </c>
      <c r="D116" s="61" t="s">
        <v>1274</v>
      </c>
      <c r="E116" s="58" t="s">
        <v>1275</v>
      </c>
      <c r="F116" s="62" t="s">
        <v>45</v>
      </c>
    </row>
    <row r="117" spans="1:6" ht="24" customHeight="1">
      <c r="A117" s="63" t="s">
        <v>245</v>
      </c>
      <c r="B117" s="64" t="s">
        <v>26</v>
      </c>
      <c r="C117" s="65" t="s">
        <v>246</v>
      </c>
      <c r="D117" s="66" t="s">
        <v>1276</v>
      </c>
      <c r="E117" s="63" t="s">
        <v>1277</v>
      </c>
      <c r="F117" s="67" t="s">
        <v>45</v>
      </c>
    </row>
    <row r="118" spans="1:6" ht="24" customHeight="1">
      <c r="A118" s="58" t="s">
        <v>247</v>
      </c>
      <c r="B118" s="59" t="s">
        <v>26</v>
      </c>
      <c r="C118" s="60" t="s">
        <v>248</v>
      </c>
      <c r="D118" s="61" t="s">
        <v>1278</v>
      </c>
      <c r="E118" s="58" t="s">
        <v>1279</v>
      </c>
      <c r="F118" s="62" t="s">
        <v>45</v>
      </c>
    </row>
    <row r="119" spans="1:6" ht="24" customHeight="1">
      <c r="A119" s="63" t="s">
        <v>249</v>
      </c>
      <c r="B119" s="64" t="s">
        <v>26</v>
      </c>
      <c r="C119" s="65" t="s">
        <v>250</v>
      </c>
      <c r="D119" s="66" t="s">
        <v>1280</v>
      </c>
      <c r="E119" s="63" t="s">
        <v>1281</v>
      </c>
      <c r="F119" s="67" t="s">
        <v>45</v>
      </c>
    </row>
    <row r="120" spans="1:6" ht="24" customHeight="1">
      <c r="A120" s="58" t="s">
        <v>251</v>
      </c>
      <c r="B120" s="59" t="s">
        <v>26</v>
      </c>
      <c r="C120" s="60" t="s">
        <v>252</v>
      </c>
      <c r="D120" s="61" t="s">
        <v>1282</v>
      </c>
      <c r="E120" s="58" t="s">
        <v>1283</v>
      </c>
      <c r="F120" s="62" t="s">
        <v>45</v>
      </c>
    </row>
    <row r="121" spans="1:6" ht="24" customHeight="1">
      <c r="A121" s="63" t="s">
        <v>253</v>
      </c>
      <c r="B121" s="64" t="s">
        <v>26</v>
      </c>
      <c r="C121" s="65" t="s">
        <v>254</v>
      </c>
      <c r="D121" s="66" t="s">
        <v>1284</v>
      </c>
      <c r="E121" s="63" t="s">
        <v>1285</v>
      </c>
      <c r="F121" s="67" t="s">
        <v>45</v>
      </c>
    </row>
    <row r="122" spans="1:6" ht="24" customHeight="1">
      <c r="A122" s="58" t="s">
        <v>255</v>
      </c>
      <c r="B122" s="59" t="s">
        <v>26</v>
      </c>
      <c r="C122" s="60" t="s">
        <v>256</v>
      </c>
      <c r="D122" s="61" t="s">
        <v>1286</v>
      </c>
      <c r="E122" s="58" t="s">
        <v>1287</v>
      </c>
      <c r="F122" s="62" t="s">
        <v>45</v>
      </c>
    </row>
    <row r="123" spans="1:6" ht="24" customHeight="1">
      <c r="A123" s="63" t="s">
        <v>257</v>
      </c>
      <c r="B123" s="64" t="s">
        <v>26</v>
      </c>
      <c r="C123" s="65" t="s">
        <v>258</v>
      </c>
      <c r="D123" s="66" t="s">
        <v>1288</v>
      </c>
      <c r="E123" s="63" t="s">
        <v>1289</v>
      </c>
      <c r="F123" s="67" t="s">
        <v>45</v>
      </c>
    </row>
    <row r="124" spans="1:6" ht="24" customHeight="1">
      <c r="A124" s="58" t="s">
        <v>259</v>
      </c>
      <c r="B124" s="59" t="s">
        <v>26</v>
      </c>
      <c r="C124" s="60" t="s">
        <v>260</v>
      </c>
      <c r="D124" s="61" t="s">
        <v>1290</v>
      </c>
      <c r="E124" s="58" t="s">
        <v>1291</v>
      </c>
      <c r="F124" s="62" t="s">
        <v>45</v>
      </c>
    </row>
    <row r="125" spans="1:6" ht="24" customHeight="1">
      <c r="A125" s="63" t="s">
        <v>261</v>
      </c>
      <c r="B125" s="64" t="s">
        <v>26</v>
      </c>
      <c r="C125" s="65" t="s">
        <v>262</v>
      </c>
      <c r="D125" s="66" t="s">
        <v>1292</v>
      </c>
      <c r="E125" s="63" t="s">
        <v>1293</v>
      </c>
      <c r="F125" s="67" t="s">
        <v>45</v>
      </c>
    </row>
    <row r="126" spans="1:6" ht="24" customHeight="1">
      <c r="A126" s="58" t="s">
        <v>263</v>
      </c>
      <c r="B126" s="59" t="s">
        <v>26</v>
      </c>
      <c r="C126" s="60" t="s">
        <v>264</v>
      </c>
      <c r="D126" s="61" t="s">
        <v>1294</v>
      </c>
      <c r="E126" s="58" t="s">
        <v>1295</v>
      </c>
      <c r="F126" s="62" t="s">
        <v>45</v>
      </c>
    </row>
    <row r="127" spans="1:6" ht="24" customHeight="1">
      <c r="A127" s="63" t="s">
        <v>265</v>
      </c>
      <c r="B127" s="64" t="s">
        <v>266</v>
      </c>
      <c r="C127" s="65" t="s">
        <v>267</v>
      </c>
      <c r="D127" s="66" t="s">
        <v>1296</v>
      </c>
      <c r="E127" s="63" t="s">
        <v>1297</v>
      </c>
      <c r="F127" s="67" t="s">
        <v>45</v>
      </c>
    </row>
    <row r="128" spans="1:6" ht="24" customHeight="1">
      <c r="A128" s="58" t="s">
        <v>268</v>
      </c>
      <c r="B128" s="59" t="s">
        <v>266</v>
      </c>
      <c r="C128" s="60" t="s">
        <v>269</v>
      </c>
      <c r="D128" s="61" t="s">
        <v>1298</v>
      </c>
      <c r="E128" s="58" t="s">
        <v>1299</v>
      </c>
      <c r="F128" s="62" t="s">
        <v>45</v>
      </c>
    </row>
    <row r="129" spans="1:6" ht="24" customHeight="1">
      <c r="A129" s="63" t="s">
        <v>270</v>
      </c>
      <c r="B129" s="64" t="s">
        <v>266</v>
      </c>
      <c r="C129" s="65" t="s">
        <v>271</v>
      </c>
      <c r="D129" s="66" t="s">
        <v>1300</v>
      </c>
      <c r="E129" s="63" t="s">
        <v>1301</v>
      </c>
      <c r="F129" s="67" t="s">
        <v>45</v>
      </c>
    </row>
    <row r="130" spans="1:6" ht="24" customHeight="1">
      <c r="A130" s="58" t="s">
        <v>272</v>
      </c>
      <c r="B130" s="59" t="s">
        <v>266</v>
      </c>
      <c r="C130" s="60" t="s">
        <v>273</v>
      </c>
      <c r="D130" s="61" t="s">
        <v>1302</v>
      </c>
      <c r="E130" s="58" t="s">
        <v>1303</v>
      </c>
      <c r="F130" s="62" t="s">
        <v>45</v>
      </c>
    </row>
    <row r="131" spans="1:6" ht="24" customHeight="1">
      <c r="A131" s="63" t="s">
        <v>274</v>
      </c>
      <c r="B131" s="64" t="s">
        <v>266</v>
      </c>
      <c r="C131" s="65" t="s">
        <v>275</v>
      </c>
      <c r="D131" s="66" t="s">
        <v>1304</v>
      </c>
      <c r="E131" s="63" t="s">
        <v>1305</v>
      </c>
      <c r="F131" s="67" t="s">
        <v>45</v>
      </c>
    </row>
    <row r="132" spans="1:6" ht="24" customHeight="1">
      <c r="A132" s="58" t="s">
        <v>276</v>
      </c>
      <c r="B132" s="59" t="s">
        <v>11</v>
      </c>
      <c r="C132" s="60" t="s">
        <v>277</v>
      </c>
      <c r="D132" s="61" t="s">
        <v>1306</v>
      </c>
      <c r="E132" s="58" t="s">
        <v>1307</v>
      </c>
      <c r="F132" s="62" t="s">
        <v>45</v>
      </c>
    </row>
    <row r="133" spans="1:6" ht="24" customHeight="1">
      <c r="A133" s="63" t="s">
        <v>278</v>
      </c>
      <c r="B133" s="64" t="s">
        <v>11</v>
      </c>
      <c r="C133" s="65" t="s">
        <v>279</v>
      </c>
      <c r="D133" s="66" t="s">
        <v>1308</v>
      </c>
      <c r="E133" s="63" t="s">
        <v>1309</v>
      </c>
      <c r="F133" s="67" t="s">
        <v>45</v>
      </c>
    </row>
    <row r="134" spans="1:6" ht="24" customHeight="1">
      <c r="A134" s="58" t="s">
        <v>280</v>
      </c>
      <c r="B134" s="59" t="s">
        <v>11</v>
      </c>
      <c r="C134" s="60" t="s">
        <v>281</v>
      </c>
      <c r="D134" s="61" t="s">
        <v>1310</v>
      </c>
      <c r="E134" s="58" t="s">
        <v>1311</v>
      </c>
      <c r="F134" s="62" t="s">
        <v>45</v>
      </c>
    </row>
    <row r="135" spans="1:6" ht="24" customHeight="1">
      <c r="A135" s="63" t="s">
        <v>282</v>
      </c>
      <c r="B135" s="64" t="s">
        <v>11</v>
      </c>
      <c r="C135" s="65" t="s">
        <v>283</v>
      </c>
      <c r="D135" s="66" t="s">
        <v>1312</v>
      </c>
      <c r="E135" s="63" t="s">
        <v>1313</v>
      </c>
      <c r="F135" s="67" t="s">
        <v>45</v>
      </c>
    </row>
    <row r="136" spans="1:6" ht="24" customHeight="1">
      <c r="A136" s="58" t="s">
        <v>284</v>
      </c>
      <c r="B136" s="59" t="s">
        <v>11</v>
      </c>
      <c r="C136" s="60" t="s">
        <v>285</v>
      </c>
      <c r="D136" s="61" t="s">
        <v>1314</v>
      </c>
      <c r="E136" s="58" t="s">
        <v>1315</v>
      </c>
      <c r="F136" s="62" t="s">
        <v>45</v>
      </c>
    </row>
    <row r="137" spans="1:6" ht="24" customHeight="1">
      <c r="A137" s="63" t="s">
        <v>286</v>
      </c>
      <c r="B137" s="64" t="s">
        <v>11</v>
      </c>
      <c r="C137" s="65" t="s">
        <v>287</v>
      </c>
      <c r="D137" s="66" t="s">
        <v>1316</v>
      </c>
      <c r="E137" s="63" t="s">
        <v>1317</v>
      </c>
      <c r="F137" s="67" t="s">
        <v>45</v>
      </c>
    </row>
    <row r="138" spans="1:6" ht="24" customHeight="1">
      <c r="A138" s="58" t="s">
        <v>288</v>
      </c>
      <c r="B138" s="59" t="s">
        <v>11</v>
      </c>
      <c r="C138" s="60" t="s">
        <v>289</v>
      </c>
      <c r="D138" s="61" t="s">
        <v>1318</v>
      </c>
      <c r="E138" s="58" t="s">
        <v>1319</v>
      </c>
      <c r="F138" s="62" t="s">
        <v>45</v>
      </c>
    </row>
    <row r="139" spans="1:6" ht="24" customHeight="1">
      <c r="A139" s="63" t="s">
        <v>290</v>
      </c>
      <c r="B139" s="64" t="s">
        <v>11</v>
      </c>
      <c r="C139" s="65" t="s">
        <v>291</v>
      </c>
      <c r="D139" s="66" t="s">
        <v>1320</v>
      </c>
      <c r="E139" s="63" t="s">
        <v>1321</v>
      </c>
      <c r="F139" s="67" t="s">
        <v>45</v>
      </c>
    </row>
    <row r="140" spans="1:6" ht="24" customHeight="1">
      <c r="A140" s="58" t="s">
        <v>292</v>
      </c>
      <c r="B140" s="59" t="s">
        <v>11</v>
      </c>
      <c r="C140" s="60" t="s">
        <v>293</v>
      </c>
      <c r="D140" s="61" t="s">
        <v>1322</v>
      </c>
      <c r="E140" s="58" t="s">
        <v>1323</v>
      </c>
      <c r="F140" s="62" t="s">
        <v>45</v>
      </c>
    </row>
    <row r="141" spans="1:6" ht="24" customHeight="1">
      <c r="A141" s="63" t="s">
        <v>294</v>
      </c>
      <c r="B141" s="64" t="s">
        <v>11</v>
      </c>
      <c r="C141" s="65" t="s">
        <v>295</v>
      </c>
      <c r="D141" s="66" t="s">
        <v>1324</v>
      </c>
      <c r="E141" s="63" t="s">
        <v>1325</v>
      </c>
      <c r="F141" s="67" t="s">
        <v>45</v>
      </c>
    </row>
    <row r="142" spans="1:6" ht="24" customHeight="1">
      <c r="A142" s="58" t="s">
        <v>296</v>
      </c>
      <c r="B142" s="59" t="s">
        <v>11</v>
      </c>
      <c r="C142" s="60" t="s">
        <v>297</v>
      </c>
      <c r="D142" s="61" t="s">
        <v>1326</v>
      </c>
      <c r="E142" s="58" t="s">
        <v>1327</v>
      </c>
      <c r="F142" s="62" t="s">
        <v>45</v>
      </c>
    </row>
    <row r="143" spans="1:6" ht="24" customHeight="1">
      <c r="A143" s="63" t="s">
        <v>298</v>
      </c>
      <c r="B143" s="64" t="s">
        <v>11</v>
      </c>
      <c r="C143" s="65" t="s">
        <v>299</v>
      </c>
      <c r="D143" s="66" t="s">
        <v>1328</v>
      </c>
      <c r="E143" s="63" t="s">
        <v>1329</v>
      </c>
      <c r="F143" s="67" t="s">
        <v>45</v>
      </c>
    </row>
    <row r="144" spans="1:6" ht="24" customHeight="1">
      <c r="A144" s="58" t="s">
        <v>300</v>
      </c>
      <c r="B144" s="59" t="s">
        <v>11</v>
      </c>
      <c r="C144" s="60" t="s">
        <v>301</v>
      </c>
      <c r="D144" s="61" t="s">
        <v>1330</v>
      </c>
      <c r="E144" s="58" t="s">
        <v>1331</v>
      </c>
      <c r="F144" s="62" t="s">
        <v>45</v>
      </c>
    </row>
    <row r="145" spans="1:6" ht="24" customHeight="1">
      <c r="A145" s="63" t="s">
        <v>302</v>
      </c>
      <c r="B145" s="64" t="s">
        <v>11</v>
      </c>
      <c r="C145" s="65" t="s">
        <v>303</v>
      </c>
      <c r="D145" s="66" t="s">
        <v>1332</v>
      </c>
      <c r="E145" s="63" t="s">
        <v>1333</v>
      </c>
      <c r="F145" s="67" t="s">
        <v>45</v>
      </c>
    </row>
    <row r="146" spans="1:6" ht="24" customHeight="1">
      <c r="A146" s="58" t="s">
        <v>304</v>
      </c>
      <c r="B146" s="59" t="s">
        <v>11</v>
      </c>
      <c r="C146" s="60" t="s">
        <v>305</v>
      </c>
      <c r="D146" s="61" t="s">
        <v>1334</v>
      </c>
      <c r="E146" s="58" t="s">
        <v>1335</v>
      </c>
      <c r="F146" s="62" t="s">
        <v>45</v>
      </c>
    </row>
    <row r="147" spans="1:6" ht="24" customHeight="1">
      <c r="A147" s="63" t="s">
        <v>306</v>
      </c>
      <c r="B147" s="64" t="s">
        <v>11</v>
      </c>
      <c r="C147" s="65" t="s">
        <v>307</v>
      </c>
      <c r="D147" s="66" t="s">
        <v>1336</v>
      </c>
      <c r="E147" s="63" t="s">
        <v>1337</v>
      </c>
      <c r="F147" s="67" t="s">
        <v>45</v>
      </c>
    </row>
    <row r="148" spans="1:6" ht="24" customHeight="1">
      <c r="A148" s="58" t="s">
        <v>308</v>
      </c>
      <c r="B148" s="59" t="s">
        <v>11</v>
      </c>
      <c r="C148" s="60" t="s">
        <v>309</v>
      </c>
      <c r="D148" s="61" t="s">
        <v>1338</v>
      </c>
      <c r="E148" s="58" t="s">
        <v>1339</v>
      </c>
      <c r="F148" s="62" t="s">
        <v>45</v>
      </c>
    </row>
    <row r="149" spans="1:6" ht="24" customHeight="1">
      <c r="A149" s="63" t="s">
        <v>310</v>
      </c>
      <c r="B149" s="64" t="s">
        <v>16</v>
      </c>
      <c r="C149" s="65" t="s">
        <v>311</v>
      </c>
      <c r="D149" s="66" t="s">
        <v>1340</v>
      </c>
      <c r="E149" s="63" t="s">
        <v>1341</v>
      </c>
      <c r="F149" s="67" t="s">
        <v>45</v>
      </c>
    </row>
    <row r="150" spans="1:6" ht="24" customHeight="1">
      <c r="A150" s="58" t="s">
        <v>312</v>
      </c>
      <c r="B150" s="59" t="s">
        <v>16</v>
      </c>
      <c r="C150" s="60" t="s">
        <v>313</v>
      </c>
      <c r="D150" s="61" t="s">
        <v>1342</v>
      </c>
      <c r="E150" s="58" t="s">
        <v>1343</v>
      </c>
      <c r="F150" s="62" t="s">
        <v>45</v>
      </c>
    </row>
    <row r="151" spans="1:6" ht="24" customHeight="1">
      <c r="A151" s="63" t="s">
        <v>314</v>
      </c>
      <c r="B151" s="64" t="s">
        <v>4</v>
      </c>
      <c r="C151" s="65" t="s">
        <v>315</v>
      </c>
      <c r="D151" s="66" t="s">
        <v>1344</v>
      </c>
      <c r="E151" s="63" t="s">
        <v>1345</v>
      </c>
      <c r="F151" s="67" t="s">
        <v>45</v>
      </c>
    </row>
    <row r="152" spans="1:6" ht="24" customHeight="1">
      <c r="A152" s="58" t="s">
        <v>316</v>
      </c>
      <c r="B152" s="59" t="s">
        <v>4</v>
      </c>
      <c r="C152" s="60" t="s">
        <v>317</v>
      </c>
      <c r="D152" s="61" t="s">
        <v>1346</v>
      </c>
      <c r="E152" s="58" t="s">
        <v>1347</v>
      </c>
      <c r="F152" s="62" t="s">
        <v>45</v>
      </c>
    </row>
    <row r="153" spans="1:6" ht="24" customHeight="1">
      <c r="A153" s="63" t="s">
        <v>318</v>
      </c>
      <c r="B153" s="64" t="s">
        <v>4</v>
      </c>
      <c r="C153" s="65" t="s">
        <v>319</v>
      </c>
      <c r="D153" s="66" t="s">
        <v>1348</v>
      </c>
      <c r="E153" s="63" t="s">
        <v>1349</v>
      </c>
      <c r="F153" s="67" t="s">
        <v>45</v>
      </c>
    </row>
  </sheetData>
  <autoFilter ref="A1:F153" xr:uid="{00000000-0001-0000-0000-000000000000}"/>
  <dataValidations count="1">
    <dataValidation type="list" sqref="D2:D153" xr:uid="{00000000-0002-0000-0000-000000000000}">
      <formula1>"Reuse,Net New"</formula1>
    </dataValidation>
  </dataValidations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B8A2-848A-D947-95BA-55C54A2C7373}">
  <dimension ref="A1:Z220"/>
  <sheetViews>
    <sheetView topLeftCell="A39" workbookViewId="0">
      <selection activeCell="C8" sqref="C8"/>
    </sheetView>
  </sheetViews>
  <sheetFormatPr defaultColWidth="8.83203125" defaultRowHeight="14"/>
  <cols>
    <col min="1" max="1" width="12" customWidth="1"/>
    <col min="2" max="2" width="25" customWidth="1"/>
    <col min="3" max="3" width="40" customWidth="1"/>
    <col min="4" max="4" width="42" customWidth="1"/>
    <col min="5" max="5" width="24" customWidth="1"/>
    <col min="6" max="6" width="20" customWidth="1"/>
    <col min="7" max="7" width="36" customWidth="1"/>
    <col min="8" max="8" width="68" customWidth="1"/>
    <col min="9" max="9" width="21" customWidth="1"/>
    <col min="10" max="10" width="50" customWidth="1"/>
    <col min="11" max="11" width="12" customWidth="1"/>
    <col min="12" max="12" width="48" customWidth="1"/>
  </cols>
  <sheetData>
    <row r="1" spans="1:26" ht="28" customHeight="1">
      <c r="A1" s="68" t="s">
        <v>564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28" customHeight="1">
      <c r="A2" s="70" t="s">
        <v>565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36" customHeight="1">
      <c r="A4" s="71" t="s">
        <v>566</v>
      </c>
      <c r="B4" s="72" t="s">
        <v>566</v>
      </c>
      <c r="C4" s="75" t="s">
        <v>567</v>
      </c>
      <c r="D4" s="76" t="s">
        <v>567</v>
      </c>
      <c r="E4" s="79" t="s">
        <v>568</v>
      </c>
      <c r="F4" s="80" t="s">
        <v>568</v>
      </c>
      <c r="G4" s="83" t="s">
        <v>569</v>
      </c>
      <c r="H4" s="84" t="s">
        <v>569</v>
      </c>
      <c r="I4" s="87" t="s">
        <v>570</v>
      </c>
      <c r="J4" s="88" t="s">
        <v>570</v>
      </c>
      <c r="K4" s="88" t="s">
        <v>570</v>
      </c>
      <c r="L4" s="89" t="s">
        <v>570</v>
      </c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36" customHeight="1">
      <c r="A5" s="73" t="s">
        <v>566</v>
      </c>
      <c r="B5" s="74" t="s">
        <v>566</v>
      </c>
      <c r="C5" s="77" t="s">
        <v>567</v>
      </c>
      <c r="D5" s="78" t="s">
        <v>567</v>
      </c>
      <c r="E5" s="81" t="s">
        <v>568</v>
      </c>
      <c r="F5" s="82" t="s">
        <v>568</v>
      </c>
      <c r="G5" s="85" t="s">
        <v>569</v>
      </c>
      <c r="H5" s="86" t="s">
        <v>569</v>
      </c>
      <c r="I5" s="90" t="s">
        <v>570</v>
      </c>
      <c r="J5" s="91" t="s">
        <v>570</v>
      </c>
      <c r="K5" s="91" t="s">
        <v>570</v>
      </c>
      <c r="L5" s="92" t="s">
        <v>570</v>
      </c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34" customHeight="1">
      <c r="A7" s="42" t="s">
        <v>571</v>
      </c>
      <c r="B7" s="43" t="s">
        <v>572</v>
      </c>
      <c r="C7" s="43" t="s">
        <v>573</v>
      </c>
      <c r="D7" s="43" t="s">
        <v>574</v>
      </c>
      <c r="E7" s="43" t="s">
        <v>575</v>
      </c>
      <c r="F7" s="43" t="s">
        <v>576</v>
      </c>
      <c r="G7" s="43" t="s">
        <v>577</v>
      </c>
      <c r="H7" s="43" t="s">
        <v>578</v>
      </c>
      <c r="I7" s="43" t="s">
        <v>579</v>
      </c>
      <c r="J7" s="43" t="s">
        <v>580</v>
      </c>
      <c r="K7" s="43" t="s">
        <v>581</v>
      </c>
      <c r="L7" s="44" t="s">
        <v>582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86" customHeight="1">
      <c r="A8" s="45" t="s">
        <v>583</v>
      </c>
      <c r="B8" s="46" t="s">
        <v>584</v>
      </c>
      <c r="C8" s="46" t="s">
        <v>585</v>
      </c>
      <c r="D8" s="46" t="s">
        <v>586</v>
      </c>
      <c r="E8" s="46" t="s">
        <v>587</v>
      </c>
      <c r="F8" s="47" t="s">
        <v>588</v>
      </c>
      <c r="G8" s="46" t="s">
        <v>589</v>
      </c>
      <c r="H8" s="46" t="s">
        <v>590</v>
      </c>
      <c r="I8" s="47" t="s">
        <v>591</v>
      </c>
      <c r="J8" s="46" t="s">
        <v>592</v>
      </c>
      <c r="K8" s="48" t="s">
        <v>593</v>
      </c>
      <c r="L8" s="49" t="s">
        <v>594</v>
      </c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86" customHeight="1">
      <c r="A9" s="45" t="s">
        <v>595</v>
      </c>
      <c r="B9" s="46" t="s">
        <v>584</v>
      </c>
      <c r="C9" s="46" t="s">
        <v>596</v>
      </c>
      <c r="D9" s="46" t="s">
        <v>586</v>
      </c>
      <c r="E9" s="46" t="s">
        <v>587</v>
      </c>
      <c r="F9" s="47" t="s">
        <v>588</v>
      </c>
      <c r="G9" s="46" t="s">
        <v>589</v>
      </c>
      <c r="H9" s="46" t="s">
        <v>590</v>
      </c>
      <c r="I9" s="47" t="s">
        <v>591</v>
      </c>
      <c r="J9" s="46" t="s">
        <v>597</v>
      </c>
      <c r="K9" s="48" t="s">
        <v>593</v>
      </c>
      <c r="L9" s="49" t="s">
        <v>594</v>
      </c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86" customHeight="1">
      <c r="A10" s="45" t="s">
        <v>598</v>
      </c>
      <c r="B10" s="46" t="s">
        <v>584</v>
      </c>
      <c r="C10" s="46" t="s">
        <v>599</v>
      </c>
      <c r="D10" s="46" t="s">
        <v>586</v>
      </c>
      <c r="E10" s="46" t="s">
        <v>587</v>
      </c>
      <c r="F10" s="47" t="s">
        <v>588</v>
      </c>
      <c r="G10" s="46" t="s">
        <v>589</v>
      </c>
      <c r="H10" s="46" t="s">
        <v>590</v>
      </c>
      <c r="I10" s="47" t="s">
        <v>591</v>
      </c>
      <c r="J10" s="46" t="s">
        <v>600</v>
      </c>
      <c r="K10" s="48" t="s">
        <v>593</v>
      </c>
      <c r="L10" s="49" t="s">
        <v>594</v>
      </c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86" customHeight="1">
      <c r="A11" s="45" t="s">
        <v>601</v>
      </c>
      <c r="B11" s="46" t="s">
        <v>584</v>
      </c>
      <c r="C11" s="46" t="s">
        <v>602</v>
      </c>
      <c r="D11" s="46" t="s">
        <v>586</v>
      </c>
      <c r="E11" s="46" t="s">
        <v>587</v>
      </c>
      <c r="F11" s="47" t="s">
        <v>588</v>
      </c>
      <c r="G11" s="46" t="s">
        <v>589</v>
      </c>
      <c r="H11" s="46" t="s">
        <v>590</v>
      </c>
      <c r="I11" s="47" t="s">
        <v>591</v>
      </c>
      <c r="J11" s="46" t="s">
        <v>603</v>
      </c>
      <c r="K11" s="48" t="s">
        <v>593</v>
      </c>
      <c r="L11" s="49" t="s">
        <v>594</v>
      </c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86" customHeight="1">
      <c r="A12" s="45" t="s">
        <v>604</v>
      </c>
      <c r="B12" s="46" t="s">
        <v>584</v>
      </c>
      <c r="C12" s="46" t="s">
        <v>605</v>
      </c>
      <c r="D12" s="46" t="s">
        <v>586</v>
      </c>
      <c r="E12" s="46" t="s">
        <v>587</v>
      </c>
      <c r="F12" s="47" t="s">
        <v>588</v>
      </c>
      <c r="G12" s="46" t="s">
        <v>589</v>
      </c>
      <c r="H12" s="46" t="s">
        <v>590</v>
      </c>
      <c r="I12" s="48" t="s">
        <v>606</v>
      </c>
      <c r="J12" s="46" t="s">
        <v>607</v>
      </c>
      <c r="K12" s="50" t="s">
        <v>608</v>
      </c>
      <c r="L12" s="49" t="s">
        <v>594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86" customHeight="1">
      <c r="A13" s="45" t="s">
        <v>609</v>
      </c>
      <c r="B13" s="46" t="s">
        <v>584</v>
      </c>
      <c r="C13" s="46" t="s">
        <v>610</v>
      </c>
      <c r="D13" s="46" t="s">
        <v>586</v>
      </c>
      <c r="E13" s="46" t="s">
        <v>587</v>
      </c>
      <c r="F13" s="47" t="s">
        <v>588</v>
      </c>
      <c r="G13" s="46" t="s">
        <v>589</v>
      </c>
      <c r="H13" s="46" t="s">
        <v>590</v>
      </c>
      <c r="I13" s="47" t="s">
        <v>591</v>
      </c>
      <c r="J13" s="46" t="s">
        <v>611</v>
      </c>
      <c r="K13" s="50" t="s">
        <v>608</v>
      </c>
      <c r="L13" s="49" t="s">
        <v>594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86" customHeight="1">
      <c r="A14" s="45" t="s">
        <v>612</v>
      </c>
      <c r="B14" s="46" t="s">
        <v>584</v>
      </c>
      <c r="C14" s="46" t="s">
        <v>613</v>
      </c>
      <c r="D14" s="46" t="s">
        <v>586</v>
      </c>
      <c r="E14" s="46" t="s">
        <v>587</v>
      </c>
      <c r="F14" s="47" t="s">
        <v>588</v>
      </c>
      <c r="G14" s="46" t="s">
        <v>589</v>
      </c>
      <c r="H14" s="46" t="s">
        <v>590</v>
      </c>
      <c r="I14" s="47" t="s">
        <v>591</v>
      </c>
      <c r="J14" s="46" t="s">
        <v>614</v>
      </c>
      <c r="K14" s="50" t="s">
        <v>608</v>
      </c>
      <c r="L14" s="49" t="s">
        <v>594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86" customHeight="1">
      <c r="A15" s="45" t="s">
        <v>615</v>
      </c>
      <c r="B15" s="46" t="s">
        <v>584</v>
      </c>
      <c r="C15" s="46" t="s">
        <v>616</v>
      </c>
      <c r="D15" s="46" t="s">
        <v>586</v>
      </c>
      <c r="E15" s="46" t="s">
        <v>587</v>
      </c>
      <c r="F15" s="47" t="s">
        <v>588</v>
      </c>
      <c r="G15" s="46" t="s">
        <v>589</v>
      </c>
      <c r="H15" s="46" t="s">
        <v>590</v>
      </c>
      <c r="I15" s="47" t="s">
        <v>591</v>
      </c>
      <c r="J15" s="46" t="s">
        <v>617</v>
      </c>
      <c r="K15" s="50" t="s">
        <v>608</v>
      </c>
      <c r="L15" s="49" t="s">
        <v>594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86" customHeight="1">
      <c r="A16" s="45" t="s">
        <v>618</v>
      </c>
      <c r="B16" s="46" t="s">
        <v>584</v>
      </c>
      <c r="C16" s="46" t="s">
        <v>619</v>
      </c>
      <c r="D16" s="46" t="s">
        <v>586</v>
      </c>
      <c r="E16" s="46" t="s">
        <v>587</v>
      </c>
      <c r="F16" s="47" t="s">
        <v>588</v>
      </c>
      <c r="G16" s="46" t="s">
        <v>589</v>
      </c>
      <c r="H16" s="46" t="s">
        <v>590</v>
      </c>
      <c r="I16" s="47" t="s">
        <v>591</v>
      </c>
      <c r="J16" s="46" t="s">
        <v>620</v>
      </c>
      <c r="K16" s="50" t="s">
        <v>608</v>
      </c>
      <c r="L16" s="49" t="s">
        <v>594</v>
      </c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86" customHeight="1">
      <c r="A17" s="45" t="s">
        <v>621</v>
      </c>
      <c r="B17" s="46" t="s">
        <v>584</v>
      </c>
      <c r="C17" s="46" t="s">
        <v>622</v>
      </c>
      <c r="D17" s="46" t="s">
        <v>586</v>
      </c>
      <c r="E17" s="46" t="s">
        <v>587</v>
      </c>
      <c r="F17" s="47" t="s">
        <v>588</v>
      </c>
      <c r="G17" s="46" t="s">
        <v>589</v>
      </c>
      <c r="H17" s="46" t="s">
        <v>590</v>
      </c>
      <c r="I17" s="47" t="s">
        <v>591</v>
      </c>
      <c r="J17" s="46" t="s">
        <v>623</v>
      </c>
      <c r="K17" s="50" t="s">
        <v>608</v>
      </c>
      <c r="L17" s="49" t="s">
        <v>594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86" customHeight="1">
      <c r="A18" s="45" t="s">
        <v>624</v>
      </c>
      <c r="B18" s="46" t="s">
        <v>584</v>
      </c>
      <c r="C18" s="46" t="s">
        <v>625</v>
      </c>
      <c r="D18" s="46" t="s">
        <v>586</v>
      </c>
      <c r="E18" s="46" t="s">
        <v>587</v>
      </c>
      <c r="F18" s="47" t="s">
        <v>588</v>
      </c>
      <c r="G18" s="46" t="s">
        <v>589</v>
      </c>
      <c r="H18" s="46" t="s">
        <v>590</v>
      </c>
      <c r="I18" s="47" t="s">
        <v>591</v>
      </c>
      <c r="J18" s="46" t="s">
        <v>626</v>
      </c>
      <c r="K18" s="50" t="s">
        <v>608</v>
      </c>
      <c r="L18" s="49" t="s">
        <v>594</v>
      </c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86" customHeight="1">
      <c r="A19" s="45" t="s">
        <v>627</v>
      </c>
      <c r="B19" s="46" t="s">
        <v>584</v>
      </c>
      <c r="C19" s="46" t="s">
        <v>628</v>
      </c>
      <c r="D19" s="46" t="s">
        <v>586</v>
      </c>
      <c r="E19" s="46" t="s">
        <v>587</v>
      </c>
      <c r="F19" s="47" t="s">
        <v>588</v>
      </c>
      <c r="G19" s="46" t="s">
        <v>589</v>
      </c>
      <c r="H19" s="46" t="s">
        <v>590</v>
      </c>
      <c r="I19" s="47" t="s">
        <v>591</v>
      </c>
      <c r="J19" s="46" t="s">
        <v>629</v>
      </c>
      <c r="K19" s="50" t="s">
        <v>608</v>
      </c>
      <c r="L19" s="49" t="s">
        <v>594</v>
      </c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86" customHeight="1">
      <c r="A20" s="45" t="s">
        <v>630</v>
      </c>
      <c r="B20" s="46" t="s">
        <v>584</v>
      </c>
      <c r="C20" s="46" t="s">
        <v>631</v>
      </c>
      <c r="D20" s="46" t="s">
        <v>586</v>
      </c>
      <c r="E20" s="46" t="s">
        <v>587</v>
      </c>
      <c r="F20" s="47" t="s">
        <v>588</v>
      </c>
      <c r="G20" s="46" t="s">
        <v>589</v>
      </c>
      <c r="H20" s="46" t="s">
        <v>590</v>
      </c>
      <c r="I20" s="47" t="s">
        <v>591</v>
      </c>
      <c r="J20" s="46" t="s">
        <v>632</v>
      </c>
      <c r="K20" s="50" t="s">
        <v>608</v>
      </c>
      <c r="L20" s="49" t="s">
        <v>594</v>
      </c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86" customHeight="1">
      <c r="A21" s="45" t="s">
        <v>633</v>
      </c>
      <c r="B21" s="46" t="s">
        <v>634</v>
      </c>
      <c r="C21" s="46" t="s">
        <v>635</v>
      </c>
      <c r="D21" s="46" t="s">
        <v>586</v>
      </c>
      <c r="E21" s="46" t="s">
        <v>636</v>
      </c>
      <c r="F21" s="51" t="s">
        <v>637</v>
      </c>
      <c r="G21" s="46" t="s">
        <v>638</v>
      </c>
      <c r="H21" s="46" t="s">
        <v>639</v>
      </c>
      <c r="I21" s="47" t="s">
        <v>591</v>
      </c>
      <c r="J21" s="46" t="s">
        <v>640</v>
      </c>
      <c r="K21" s="48" t="s">
        <v>593</v>
      </c>
      <c r="L21" s="49" t="s">
        <v>594</v>
      </c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86" customHeight="1">
      <c r="A22" s="45" t="s">
        <v>641</v>
      </c>
      <c r="B22" s="46" t="s">
        <v>634</v>
      </c>
      <c r="C22" s="46" t="s">
        <v>642</v>
      </c>
      <c r="D22" s="46" t="s">
        <v>586</v>
      </c>
      <c r="E22" s="46" t="s">
        <v>636</v>
      </c>
      <c r="F22" s="51" t="s">
        <v>637</v>
      </c>
      <c r="G22" s="46" t="s">
        <v>638</v>
      </c>
      <c r="H22" s="46" t="s">
        <v>639</v>
      </c>
      <c r="I22" s="47" t="s">
        <v>591</v>
      </c>
      <c r="J22" s="46" t="s">
        <v>643</v>
      </c>
      <c r="K22" s="50" t="s">
        <v>608</v>
      </c>
      <c r="L22" s="49" t="s">
        <v>594</v>
      </c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86" customHeight="1">
      <c r="A23" s="45" t="s">
        <v>644</v>
      </c>
      <c r="B23" s="46" t="s">
        <v>634</v>
      </c>
      <c r="C23" s="46" t="s">
        <v>645</v>
      </c>
      <c r="D23" s="46" t="s">
        <v>586</v>
      </c>
      <c r="E23" s="46" t="s">
        <v>636</v>
      </c>
      <c r="F23" s="51" t="s">
        <v>637</v>
      </c>
      <c r="G23" s="46" t="s">
        <v>638</v>
      </c>
      <c r="H23" s="46" t="s">
        <v>639</v>
      </c>
      <c r="I23" s="47" t="s">
        <v>591</v>
      </c>
      <c r="J23" s="46" t="s">
        <v>646</v>
      </c>
      <c r="K23" s="50" t="s">
        <v>608</v>
      </c>
      <c r="L23" s="49" t="s">
        <v>594</v>
      </c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86" customHeight="1">
      <c r="A24" s="45" t="s">
        <v>647</v>
      </c>
      <c r="B24" s="46" t="s">
        <v>634</v>
      </c>
      <c r="C24" s="46" t="s">
        <v>648</v>
      </c>
      <c r="D24" s="46" t="s">
        <v>586</v>
      </c>
      <c r="E24" s="46" t="s">
        <v>636</v>
      </c>
      <c r="F24" s="51" t="s">
        <v>637</v>
      </c>
      <c r="G24" s="46" t="s">
        <v>638</v>
      </c>
      <c r="H24" s="46" t="s">
        <v>639</v>
      </c>
      <c r="I24" s="47" t="s">
        <v>591</v>
      </c>
      <c r="J24" s="46" t="s">
        <v>649</v>
      </c>
      <c r="K24" s="50" t="s">
        <v>608</v>
      </c>
      <c r="L24" s="49" t="s">
        <v>594</v>
      </c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86" customHeight="1">
      <c r="A25" s="45" t="s">
        <v>650</v>
      </c>
      <c r="B25" s="46" t="s">
        <v>634</v>
      </c>
      <c r="C25" s="46" t="s">
        <v>651</v>
      </c>
      <c r="D25" s="46" t="s">
        <v>586</v>
      </c>
      <c r="E25" s="46" t="s">
        <v>636</v>
      </c>
      <c r="F25" s="51" t="s">
        <v>637</v>
      </c>
      <c r="G25" s="46" t="s">
        <v>638</v>
      </c>
      <c r="H25" s="46" t="s">
        <v>639</v>
      </c>
      <c r="I25" s="47" t="s">
        <v>591</v>
      </c>
      <c r="J25" s="46" t="s">
        <v>652</v>
      </c>
      <c r="K25" s="50" t="s">
        <v>608</v>
      </c>
      <c r="L25" s="49" t="s">
        <v>594</v>
      </c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86" customHeight="1">
      <c r="A26" s="45" t="s">
        <v>653</v>
      </c>
      <c r="B26" s="46" t="s">
        <v>634</v>
      </c>
      <c r="C26" s="46" t="s">
        <v>654</v>
      </c>
      <c r="D26" s="46" t="s">
        <v>655</v>
      </c>
      <c r="E26" s="46" t="s">
        <v>636</v>
      </c>
      <c r="F26" s="51" t="s">
        <v>637</v>
      </c>
      <c r="G26" s="46" t="s">
        <v>638</v>
      </c>
      <c r="H26" s="46" t="s">
        <v>639</v>
      </c>
      <c r="I26" s="52" t="s">
        <v>656</v>
      </c>
      <c r="J26" s="46" t="s">
        <v>657</v>
      </c>
      <c r="K26" s="50" t="s">
        <v>608</v>
      </c>
      <c r="L26" s="49" t="s">
        <v>594</v>
      </c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86" customHeight="1">
      <c r="A27" s="45" t="s">
        <v>658</v>
      </c>
      <c r="B27" s="46" t="s">
        <v>634</v>
      </c>
      <c r="C27" s="46" t="s">
        <v>659</v>
      </c>
      <c r="D27" s="46" t="s">
        <v>655</v>
      </c>
      <c r="E27" s="46" t="s">
        <v>636</v>
      </c>
      <c r="F27" s="51" t="s">
        <v>637</v>
      </c>
      <c r="G27" s="46" t="s">
        <v>638</v>
      </c>
      <c r="H27" s="46" t="s">
        <v>639</v>
      </c>
      <c r="I27" s="52" t="s">
        <v>656</v>
      </c>
      <c r="J27" s="46" t="s">
        <v>660</v>
      </c>
      <c r="K27" s="50" t="s">
        <v>608</v>
      </c>
      <c r="L27" s="49" t="s">
        <v>594</v>
      </c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86" customHeight="1">
      <c r="A28" s="45" t="s">
        <v>661</v>
      </c>
      <c r="B28" s="46" t="s">
        <v>634</v>
      </c>
      <c r="C28" s="46" t="s">
        <v>662</v>
      </c>
      <c r="D28" s="46" t="s">
        <v>655</v>
      </c>
      <c r="E28" s="46" t="s">
        <v>636</v>
      </c>
      <c r="F28" s="51" t="s">
        <v>637</v>
      </c>
      <c r="G28" s="46" t="s">
        <v>638</v>
      </c>
      <c r="H28" s="46" t="s">
        <v>639</v>
      </c>
      <c r="I28" s="52" t="s">
        <v>656</v>
      </c>
      <c r="J28" s="46" t="s">
        <v>663</v>
      </c>
      <c r="K28" s="50" t="s">
        <v>608</v>
      </c>
      <c r="L28" s="49" t="s">
        <v>594</v>
      </c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86" customHeight="1">
      <c r="A29" s="45" t="s">
        <v>664</v>
      </c>
      <c r="B29" s="46" t="s">
        <v>634</v>
      </c>
      <c r="C29" s="46" t="s">
        <v>665</v>
      </c>
      <c r="D29" s="46" t="s">
        <v>655</v>
      </c>
      <c r="E29" s="46" t="s">
        <v>636</v>
      </c>
      <c r="F29" s="51" t="s">
        <v>637</v>
      </c>
      <c r="G29" s="46" t="s">
        <v>638</v>
      </c>
      <c r="H29" s="46" t="s">
        <v>639</v>
      </c>
      <c r="I29" s="52" t="s">
        <v>656</v>
      </c>
      <c r="J29" s="46" t="s">
        <v>666</v>
      </c>
      <c r="K29" s="50" t="s">
        <v>608</v>
      </c>
      <c r="L29" s="49" t="s">
        <v>594</v>
      </c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86" customHeight="1">
      <c r="A30" s="45" t="s">
        <v>667</v>
      </c>
      <c r="B30" s="46" t="s">
        <v>634</v>
      </c>
      <c r="C30" s="46" t="s">
        <v>668</v>
      </c>
      <c r="D30" s="46" t="s">
        <v>669</v>
      </c>
      <c r="E30" s="46" t="s">
        <v>636</v>
      </c>
      <c r="F30" s="51" t="s">
        <v>637</v>
      </c>
      <c r="G30" s="46" t="s">
        <v>638</v>
      </c>
      <c r="H30" s="46" t="s">
        <v>639</v>
      </c>
      <c r="I30" s="51" t="s">
        <v>670</v>
      </c>
      <c r="J30" s="46" t="s">
        <v>671</v>
      </c>
      <c r="K30" s="50" t="s">
        <v>608</v>
      </c>
      <c r="L30" s="49" t="s">
        <v>594</v>
      </c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86" customHeight="1">
      <c r="A31" s="45" t="s">
        <v>672</v>
      </c>
      <c r="B31" s="46" t="s">
        <v>673</v>
      </c>
      <c r="C31" s="46" t="s">
        <v>674</v>
      </c>
      <c r="D31" s="46" t="s">
        <v>675</v>
      </c>
      <c r="E31" s="46" t="s">
        <v>676</v>
      </c>
      <c r="F31" s="52" t="s">
        <v>677</v>
      </c>
      <c r="G31" s="46" t="s">
        <v>678</v>
      </c>
      <c r="H31" s="46" t="s">
        <v>679</v>
      </c>
      <c r="I31" s="53" t="s">
        <v>680</v>
      </c>
      <c r="J31" s="46" t="s">
        <v>681</v>
      </c>
      <c r="K31" s="48" t="s">
        <v>593</v>
      </c>
      <c r="L31" s="49" t="s">
        <v>594</v>
      </c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86" customHeight="1">
      <c r="A32" s="45" t="s">
        <v>682</v>
      </c>
      <c r="B32" s="46" t="s">
        <v>673</v>
      </c>
      <c r="C32" s="46" t="s">
        <v>683</v>
      </c>
      <c r="D32" s="46" t="s">
        <v>675</v>
      </c>
      <c r="E32" s="46" t="s">
        <v>676</v>
      </c>
      <c r="F32" s="52" t="s">
        <v>677</v>
      </c>
      <c r="G32" s="46" t="s">
        <v>678</v>
      </c>
      <c r="H32" s="46" t="s">
        <v>679</v>
      </c>
      <c r="I32" s="53" t="s">
        <v>680</v>
      </c>
      <c r="J32" s="46" t="s">
        <v>684</v>
      </c>
      <c r="K32" s="48" t="s">
        <v>593</v>
      </c>
      <c r="L32" s="49" t="s">
        <v>594</v>
      </c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86" customHeight="1">
      <c r="A33" s="45" t="s">
        <v>685</v>
      </c>
      <c r="B33" s="46" t="s">
        <v>673</v>
      </c>
      <c r="C33" s="46" t="s">
        <v>686</v>
      </c>
      <c r="D33" s="46" t="s">
        <v>687</v>
      </c>
      <c r="E33" s="46" t="s">
        <v>587</v>
      </c>
      <c r="F33" s="47" t="s">
        <v>588</v>
      </c>
      <c r="G33" s="46" t="s">
        <v>688</v>
      </c>
      <c r="H33" s="46" t="s">
        <v>679</v>
      </c>
      <c r="I33" s="53" t="s">
        <v>680</v>
      </c>
      <c r="J33" s="46" t="s">
        <v>689</v>
      </c>
      <c r="K33" s="48" t="s">
        <v>593</v>
      </c>
      <c r="L33" s="49" t="s">
        <v>594</v>
      </c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86" customHeight="1">
      <c r="A34" s="45" t="s">
        <v>690</v>
      </c>
      <c r="B34" s="46" t="s">
        <v>673</v>
      </c>
      <c r="C34" s="46" t="s">
        <v>691</v>
      </c>
      <c r="D34" s="46" t="s">
        <v>687</v>
      </c>
      <c r="E34" s="46" t="s">
        <v>587</v>
      </c>
      <c r="F34" s="47" t="s">
        <v>588</v>
      </c>
      <c r="G34" s="46" t="s">
        <v>688</v>
      </c>
      <c r="H34" s="46" t="s">
        <v>679</v>
      </c>
      <c r="I34" s="53" t="s">
        <v>680</v>
      </c>
      <c r="J34" s="46" t="s">
        <v>692</v>
      </c>
      <c r="K34" s="48" t="s">
        <v>593</v>
      </c>
      <c r="L34" s="49" t="s">
        <v>594</v>
      </c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86" customHeight="1">
      <c r="A35" s="45" t="s">
        <v>693</v>
      </c>
      <c r="B35" s="46" t="s">
        <v>673</v>
      </c>
      <c r="C35" s="46" t="s">
        <v>694</v>
      </c>
      <c r="D35" s="46" t="s">
        <v>695</v>
      </c>
      <c r="E35" s="46" t="s">
        <v>676</v>
      </c>
      <c r="F35" s="52" t="s">
        <v>677</v>
      </c>
      <c r="G35" s="46" t="s">
        <v>678</v>
      </c>
      <c r="H35" s="46" t="s">
        <v>679</v>
      </c>
      <c r="I35" s="53" t="s">
        <v>680</v>
      </c>
      <c r="J35" s="46" t="s">
        <v>696</v>
      </c>
      <c r="K35" s="48" t="s">
        <v>593</v>
      </c>
      <c r="L35" s="49" t="s">
        <v>594</v>
      </c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86" customHeight="1">
      <c r="A36" s="45" t="s">
        <v>697</v>
      </c>
      <c r="B36" s="46" t="s">
        <v>673</v>
      </c>
      <c r="C36" s="46" t="s">
        <v>698</v>
      </c>
      <c r="D36" s="46" t="s">
        <v>695</v>
      </c>
      <c r="E36" s="46" t="s">
        <v>676</v>
      </c>
      <c r="F36" s="52" t="s">
        <v>677</v>
      </c>
      <c r="G36" s="46" t="s">
        <v>678</v>
      </c>
      <c r="H36" s="46" t="s">
        <v>679</v>
      </c>
      <c r="I36" s="53" t="s">
        <v>680</v>
      </c>
      <c r="J36" s="46" t="s">
        <v>699</v>
      </c>
      <c r="K36" s="48" t="s">
        <v>593</v>
      </c>
      <c r="L36" s="49" t="s">
        <v>594</v>
      </c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86" customHeight="1">
      <c r="A37" s="45" t="s">
        <v>700</v>
      </c>
      <c r="B37" s="46" t="s">
        <v>673</v>
      </c>
      <c r="C37" s="46" t="s">
        <v>701</v>
      </c>
      <c r="D37" s="46" t="s">
        <v>586</v>
      </c>
      <c r="E37" s="46" t="s">
        <v>676</v>
      </c>
      <c r="F37" s="52" t="s">
        <v>677</v>
      </c>
      <c r="G37" s="46" t="s">
        <v>678</v>
      </c>
      <c r="H37" s="46" t="s">
        <v>679</v>
      </c>
      <c r="I37" s="47" t="s">
        <v>591</v>
      </c>
      <c r="J37" s="46" t="s">
        <v>702</v>
      </c>
      <c r="K37" s="48" t="s">
        <v>593</v>
      </c>
      <c r="L37" s="49" t="s">
        <v>594</v>
      </c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86" customHeight="1">
      <c r="A38" s="45" t="s">
        <v>703</v>
      </c>
      <c r="B38" s="46" t="s">
        <v>673</v>
      </c>
      <c r="C38" s="46" t="s">
        <v>704</v>
      </c>
      <c r="D38" s="46" t="s">
        <v>586</v>
      </c>
      <c r="E38" s="46" t="s">
        <v>676</v>
      </c>
      <c r="F38" s="52" t="s">
        <v>677</v>
      </c>
      <c r="G38" s="46" t="s">
        <v>678</v>
      </c>
      <c r="H38" s="46" t="s">
        <v>679</v>
      </c>
      <c r="I38" s="48" t="s">
        <v>606</v>
      </c>
      <c r="J38" s="46" t="s">
        <v>705</v>
      </c>
      <c r="K38" s="48" t="s">
        <v>593</v>
      </c>
      <c r="L38" s="49" t="s">
        <v>594</v>
      </c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86" customHeight="1">
      <c r="A39" s="45" t="s">
        <v>706</v>
      </c>
      <c r="B39" s="46" t="s">
        <v>673</v>
      </c>
      <c r="C39" s="46" t="s">
        <v>707</v>
      </c>
      <c r="D39" s="46" t="s">
        <v>586</v>
      </c>
      <c r="E39" s="46" t="s">
        <v>676</v>
      </c>
      <c r="F39" s="52" t="s">
        <v>677</v>
      </c>
      <c r="G39" s="46" t="s">
        <v>678</v>
      </c>
      <c r="H39" s="46" t="s">
        <v>679</v>
      </c>
      <c r="I39" s="47" t="s">
        <v>591</v>
      </c>
      <c r="J39" s="46" t="s">
        <v>708</v>
      </c>
      <c r="K39" s="48" t="s">
        <v>593</v>
      </c>
      <c r="L39" s="49" t="s">
        <v>594</v>
      </c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86" customHeight="1">
      <c r="A40" s="45" t="s">
        <v>709</v>
      </c>
      <c r="B40" s="46" t="s">
        <v>673</v>
      </c>
      <c r="C40" s="46" t="s">
        <v>710</v>
      </c>
      <c r="D40" s="46" t="s">
        <v>586</v>
      </c>
      <c r="E40" s="46" t="s">
        <v>676</v>
      </c>
      <c r="F40" s="52" t="s">
        <v>677</v>
      </c>
      <c r="G40" s="46" t="s">
        <v>678</v>
      </c>
      <c r="H40" s="46" t="s">
        <v>679</v>
      </c>
      <c r="I40" s="47" t="s">
        <v>591</v>
      </c>
      <c r="J40" s="46" t="s">
        <v>711</v>
      </c>
      <c r="K40" s="48" t="s">
        <v>593</v>
      </c>
      <c r="L40" s="49" t="s">
        <v>594</v>
      </c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86" customHeight="1">
      <c r="A41" s="45" t="s">
        <v>712</v>
      </c>
      <c r="B41" s="46" t="s">
        <v>673</v>
      </c>
      <c r="C41" s="46" t="s">
        <v>713</v>
      </c>
      <c r="D41" s="46" t="s">
        <v>586</v>
      </c>
      <c r="E41" s="46" t="s">
        <v>676</v>
      </c>
      <c r="F41" s="52" t="s">
        <v>677</v>
      </c>
      <c r="G41" s="46" t="s">
        <v>678</v>
      </c>
      <c r="H41" s="46" t="s">
        <v>679</v>
      </c>
      <c r="I41" s="47" t="s">
        <v>591</v>
      </c>
      <c r="J41" s="46" t="s">
        <v>714</v>
      </c>
      <c r="K41" s="48" t="s">
        <v>593</v>
      </c>
      <c r="L41" s="49" t="s">
        <v>594</v>
      </c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86" customHeight="1">
      <c r="A42" s="45" t="s">
        <v>715</v>
      </c>
      <c r="B42" s="46" t="s">
        <v>673</v>
      </c>
      <c r="C42" s="46" t="s">
        <v>716</v>
      </c>
      <c r="D42" s="46" t="s">
        <v>717</v>
      </c>
      <c r="E42" s="46" t="s">
        <v>676</v>
      </c>
      <c r="F42" s="52" t="s">
        <v>677</v>
      </c>
      <c r="G42" s="46" t="s">
        <v>678</v>
      </c>
      <c r="H42" s="46" t="s">
        <v>679</v>
      </c>
      <c r="I42" s="47" t="s">
        <v>591</v>
      </c>
      <c r="J42" s="46" t="s">
        <v>718</v>
      </c>
      <c r="K42" s="48" t="s">
        <v>593</v>
      </c>
      <c r="L42" s="49" t="s">
        <v>594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86" customHeight="1">
      <c r="A43" s="45" t="s">
        <v>719</v>
      </c>
      <c r="B43" s="46" t="s">
        <v>673</v>
      </c>
      <c r="C43" s="46" t="s">
        <v>720</v>
      </c>
      <c r="D43" s="46" t="s">
        <v>717</v>
      </c>
      <c r="E43" s="46" t="s">
        <v>676</v>
      </c>
      <c r="F43" s="52" t="s">
        <v>677</v>
      </c>
      <c r="G43" s="46" t="s">
        <v>678</v>
      </c>
      <c r="H43" s="46" t="s">
        <v>679</v>
      </c>
      <c r="I43" s="47" t="s">
        <v>591</v>
      </c>
      <c r="J43" s="46" t="s">
        <v>721</v>
      </c>
      <c r="K43" s="48" t="s">
        <v>593</v>
      </c>
      <c r="L43" s="49" t="s">
        <v>594</v>
      </c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86" customHeight="1">
      <c r="A44" s="45" t="s">
        <v>722</v>
      </c>
      <c r="B44" s="46" t="s">
        <v>673</v>
      </c>
      <c r="C44" s="46" t="s">
        <v>723</v>
      </c>
      <c r="D44" s="46" t="s">
        <v>717</v>
      </c>
      <c r="E44" s="46" t="s">
        <v>676</v>
      </c>
      <c r="F44" s="52" t="s">
        <v>677</v>
      </c>
      <c r="G44" s="46" t="s">
        <v>678</v>
      </c>
      <c r="H44" s="46" t="s">
        <v>679</v>
      </c>
      <c r="I44" s="47" t="s">
        <v>591</v>
      </c>
      <c r="J44" s="46" t="s">
        <v>724</v>
      </c>
      <c r="K44" s="48" t="s">
        <v>593</v>
      </c>
      <c r="L44" s="49" t="s">
        <v>594</v>
      </c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86" customHeight="1">
      <c r="A45" s="45" t="s">
        <v>725</v>
      </c>
      <c r="B45" s="46" t="s">
        <v>673</v>
      </c>
      <c r="C45" s="46" t="s">
        <v>726</v>
      </c>
      <c r="D45" s="46" t="s">
        <v>717</v>
      </c>
      <c r="E45" s="46" t="s">
        <v>676</v>
      </c>
      <c r="F45" s="52" t="s">
        <v>677</v>
      </c>
      <c r="G45" s="46" t="s">
        <v>678</v>
      </c>
      <c r="H45" s="46" t="s">
        <v>679</v>
      </c>
      <c r="I45" s="47" t="s">
        <v>591</v>
      </c>
      <c r="J45" s="46" t="s">
        <v>727</v>
      </c>
      <c r="K45" s="48" t="s">
        <v>593</v>
      </c>
      <c r="L45" s="49" t="s">
        <v>594</v>
      </c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86" customHeight="1">
      <c r="A46" s="45" t="s">
        <v>728</v>
      </c>
      <c r="B46" s="46" t="s">
        <v>673</v>
      </c>
      <c r="C46" s="46" t="s">
        <v>729</v>
      </c>
      <c r="D46" s="46" t="s">
        <v>717</v>
      </c>
      <c r="E46" s="46" t="s">
        <v>676</v>
      </c>
      <c r="F46" s="52" t="s">
        <v>677</v>
      </c>
      <c r="G46" s="46" t="s">
        <v>678</v>
      </c>
      <c r="H46" s="46" t="s">
        <v>679</v>
      </c>
      <c r="I46" s="47" t="s">
        <v>591</v>
      </c>
      <c r="J46" s="46" t="s">
        <v>730</v>
      </c>
      <c r="K46" s="48" t="s">
        <v>593</v>
      </c>
      <c r="L46" s="49" t="s">
        <v>594</v>
      </c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86" customHeight="1">
      <c r="A47" s="45" t="s">
        <v>731</v>
      </c>
      <c r="B47" s="46" t="s">
        <v>673</v>
      </c>
      <c r="C47" s="46" t="s">
        <v>732</v>
      </c>
      <c r="D47" s="46" t="s">
        <v>655</v>
      </c>
      <c r="E47" s="46" t="s">
        <v>676</v>
      </c>
      <c r="F47" s="52" t="s">
        <v>677</v>
      </c>
      <c r="G47" s="46" t="s">
        <v>678</v>
      </c>
      <c r="H47" s="46" t="s">
        <v>679</v>
      </c>
      <c r="I47" s="52" t="s">
        <v>656</v>
      </c>
      <c r="J47" s="46" t="s">
        <v>733</v>
      </c>
      <c r="K47" s="48" t="s">
        <v>593</v>
      </c>
      <c r="L47" s="49" t="s">
        <v>594</v>
      </c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86" customHeight="1">
      <c r="A48" s="45" t="s">
        <v>734</v>
      </c>
      <c r="B48" s="46" t="s">
        <v>673</v>
      </c>
      <c r="C48" s="46" t="s">
        <v>735</v>
      </c>
      <c r="D48" s="46" t="s">
        <v>736</v>
      </c>
      <c r="E48" s="46" t="s">
        <v>676</v>
      </c>
      <c r="F48" s="52" t="s">
        <v>677</v>
      </c>
      <c r="G48" s="46" t="s">
        <v>678</v>
      </c>
      <c r="H48" s="46" t="s">
        <v>679</v>
      </c>
      <c r="I48" s="51" t="s">
        <v>670</v>
      </c>
      <c r="J48" s="46" t="s">
        <v>737</v>
      </c>
      <c r="K48" s="48" t="s">
        <v>593</v>
      </c>
      <c r="L48" s="49" t="s">
        <v>594</v>
      </c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86" customHeight="1">
      <c r="A49" s="45" t="s">
        <v>738</v>
      </c>
      <c r="B49" s="46" t="s">
        <v>129</v>
      </c>
      <c r="C49" s="46" t="s">
        <v>739</v>
      </c>
      <c r="D49" s="46" t="s">
        <v>675</v>
      </c>
      <c r="E49" s="46" t="s">
        <v>636</v>
      </c>
      <c r="F49" s="51" t="s">
        <v>637</v>
      </c>
      <c r="G49" s="46" t="s">
        <v>740</v>
      </c>
      <c r="H49" s="46" t="s">
        <v>741</v>
      </c>
      <c r="I49" s="53" t="s">
        <v>680</v>
      </c>
      <c r="J49" s="46" t="s">
        <v>742</v>
      </c>
      <c r="K49" s="50" t="s">
        <v>608</v>
      </c>
      <c r="L49" s="49" t="s">
        <v>594</v>
      </c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86" customHeight="1">
      <c r="A50" s="45" t="s">
        <v>743</v>
      </c>
      <c r="B50" s="46" t="s">
        <v>129</v>
      </c>
      <c r="C50" s="46" t="s">
        <v>744</v>
      </c>
      <c r="D50" s="46" t="s">
        <v>687</v>
      </c>
      <c r="E50" s="46" t="s">
        <v>587</v>
      </c>
      <c r="F50" s="47" t="s">
        <v>588</v>
      </c>
      <c r="G50" s="46" t="s">
        <v>745</v>
      </c>
      <c r="H50" s="46" t="s">
        <v>741</v>
      </c>
      <c r="I50" s="53" t="s">
        <v>680</v>
      </c>
      <c r="J50" s="46" t="s">
        <v>746</v>
      </c>
      <c r="K50" s="50" t="s">
        <v>608</v>
      </c>
      <c r="L50" s="49" t="s">
        <v>594</v>
      </c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86" customHeight="1">
      <c r="A51" s="45" t="s">
        <v>747</v>
      </c>
      <c r="B51" s="46" t="s">
        <v>129</v>
      </c>
      <c r="C51" s="46" t="s">
        <v>748</v>
      </c>
      <c r="D51" s="46" t="s">
        <v>695</v>
      </c>
      <c r="E51" s="46" t="s">
        <v>636</v>
      </c>
      <c r="F51" s="51" t="s">
        <v>637</v>
      </c>
      <c r="G51" s="46" t="s">
        <v>740</v>
      </c>
      <c r="H51" s="46" t="s">
        <v>741</v>
      </c>
      <c r="I51" s="53" t="s">
        <v>680</v>
      </c>
      <c r="J51" s="46" t="s">
        <v>749</v>
      </c>
      <c r="K51" s="50" t="s">
        <v>608</v>
      </c>
      <c r="L51" s="49" t="s">
        <v>594</v>
      </c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86" customHeight="1">
      <c r="A52" s="45" t="s">
        <v>750</v>
      </c>
      <c r="B52" s="46" t="s">
        <v>129</v>
      </c>
      <c r="C52" s="46" t="s">
        <v>751</v>
      </c>
      <c r="D52" s="46" t="s">
        <v>586</v>
      </c>
      <c r="E52" s="46" t="s">
        <v>636</v>
      </c>
      <c r="F52" s="51" t="s">
        <v>637</v>
      </c>
      <c r="G52" s="46" t="s">
        <v>740</v>
      </c>
      <c r="H52" s="46" t="s">
        <v>741</v>
      </c>
      <c r="I52" s="47" t="s">
        <v>591</v>
      </c>
      <c r="J52" s="46" t="s">
        <v>752</v>
      </c>
      <c r="K52" s="48" t="s">
        <v>593</v>
      </c>
      <c r="L52" s="49" t="s">
        <v>594</v>
      </c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86" customHeight="1">
      <c r="A53" s="45" t="s">
        <v>753</v>
      </c>
      <c r="B53" s="46" t="s">
        <v>129</v>
      </c>
      <c r="C53" s="46" t="s">
        <v>754</v>
      </c>
      <c r="D53" s="46" t="s">
        <v>586</v>
      </c>
      <c r="E53" s="46" t="s">
        <v>636</v>
      </c>
      <c r="F53" s="51" t="s">
        <v>637</v>
      </c>
      <c r="G53" s="46" t="s">
        <v>740</v>
      </c>
      <c r="H53" s="46" t="s">
        <v>741</v>
      </c>
      <c r="I53" s="47" t="s">
        <v>591</v>
      </c>
      <c r="J53" s="46" t="s">
        <v>755</v>
      </c>
      <c r="K53" s="50" t="s">
        <v>608</v>
      </c>
      <c r="L53" s="49" t="s">
        <v>594</v>
      </c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86" customHeight="1">
      <c r="A54" s="45" t="s">
        <v>756</v>
      </c>
      <c r="B54" s="46" t="s">
        <v>129</v>
      </c>
      <c r="C54" s="46" t="s">
        <v>757</v>
      </c>
      <c r="D54" s="46" t="s">
        <v>586</v>
      </c>
      <c r="E54" s="46" t="s">
        <v>636</v>
      </c>
      <c r="F54" s="51" t="s">
        <v>637</v>
      </c>
      <c r="G54" s="46" t="s">
        <v>740</v>
      </c>
      <c r="H54" s="46" t="s">
        <v>741</v>
      </c>
      <c r="I54" s="47" t="s">
        <v>591</v>
      </c>
      <c r="J54" s="46" t="s">
        <v>758</v>
      </c>
      <c r="K54" s="50" t="s">
        <v>608</v>
      </c>
      <c r="L54" s="49" t="s">
        <v>594</v>
      </c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86" customHeight="1">
      <c r="A55" s="45" t="s">
        <v>759</v>
      </c>
      <c r="B55" s="46" t="s">
        <v>129</v>
      </c>
      <c r="C55" s="46" t="s">
        <v>760</v>
      </c>
      <c r="D55" s="46" t="s">
        <v>586</v>
      </c>
      <c r="E55" s="46" t="s">
        <v>636</v>
      </c>
      <c r="F55" s="51" t="s">
        <v>637</v>
      </c>
      <c r="G55" s="46" t="s">
        <v>740</v>
      </c>
      <c r="H55" s="46" t="s">
        <v>741</v>
      </c>
      <c r="I55" s="47" t="s">
        <v>591</v>
      </c>
      <c r="J55" s="46" t="s">
        <v>761</v>
      </c>
      <c r="K55" s="50" t="s">
        <v>608</v>
      </c>
      <c r="L55" s="49" t="s">
        <v>594</v>
      </c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86" customHeight="1">
      <c r="A56" s="45" t="s">
        <v>762</v>
      </c>
      <c r="B56" s="46" t="s">
        <v>129</v>
      </c>
      <c r="C56" s="46" t="s">
        <v>763</v>
      </c>
      <c r="D56" s="46" t="s">
        <v>586</v>
      </c>
      <c r="E56" s="46" t="s">
        <v>636</v>
      </c>
      <c r="F56" s="51" t="s">
        <v>637</v>
      </c>
      <c r="G56" s="46" t="s">
        <v>740</v>
      </c>
      <c r="H56" s="46" t="s">
        <v>741</v>
      </c>
      <c r="I56" s="47" t="s">
        <v>591</v>
      </c>
      <c r="J56" s="46" t="s">
        <v>764</v>
      </c>
      <c r="K56" s="50" t="s">
        <v>608</v>
      </c>
      <c r="L56" s="49" t="s">
        <v>594</v>
      </c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86" customHeight="1">
      <c r="A57" s="45" t="s">
        <v>765</v>
      </c>
      <c r="B57" s="46" t="s">
        <v>129</v>
      </c>
      <c r="C57" s="46" t="s">
        <v>766</v>
      </c>
      <c r="D57" s="46" t="s">
        <v>586</v>
      </c>
      <c r="E57" s="46" t="s">
        <v>636</v>
      </c>
      <c r="F57" s="51" t="s">
        <v>637</v>
      </c>
      <c r="G57" s="46" t="s">
        <v>740</v>
      </c>
      <c r="H57" s="46" t="s">
        <v>741</v>
      </c>
      <c r="I57" s="47" t="s">
        <v>591</v>
      </c>
      <c r="J57" s="46" t="s">
        <v>767</v>
      </c>
      <c r="K57" s="50" t="s">
        <v>608</v>
      </c>
      <c r="L57" s="49" t="s">
        <v>594</v>
      </c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86" customHeight="1">
      <c r="A58" s="45" t="s">
        <v>768</v>
      </c>
      <c r="B58" s="46" t="s">
        <v>129</v>
      </c>
      <c r="C58" s="46" t="s">
        <v>769</v>
      </c>
      <c r="D58" s="46" t="s">
        <v>586</v>
      </c>
      <c r="E58" s="46" t="s">
        <v>636</v>
      </c>
      <c r="F58" s="51" t="s">
        <v>637</v>
      </c>
      <c r="G58" s="46" t="s">
        <v>740</v>
      </c>
      <c r="H58" s="46" t="s">
        <v>741</v>
      </c>
      <c r="I58" s="47" t="s">
        <v>591</v>
      </c>
      <c r="J58" s="46" t="s">
        <v>770</v>
      </c>
      <c r="K58" s="50" t="s">
        <v>608</v>
      </c>
      <c r="L58" s="49" t="s">
        <v>594</v>
      </c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86" customHeight="1">
      <c r="A59" s="45" t="s">
        <v>771</v>
      </c>
      <c r="B59" s="46" t="s">
        <v>129</v>
      </c>
      <c r="C59" s="46" t="s">
        <v>772</v>
      </c>
      <c r="D59" s="46" t="s">
        <v>586</v>
      </c>
      <c r="E59" s="46" t="s">
        <v>636</v>
      </c>
      <c r="F59" s="51" t="s">
        <v>637</v>
      </c>
      <c r="G59" s="46" t="s">
        <v>740</v>
      </c>
      <c r="H59" s="46" t="s">
        <v>741</v>
      </c>
      <c r="I59" s="47" t="s">
        <v>591</v>
      </c>
      <c r="J59" s="46" t="s">
        <v>773</v>
      </c>
      <c r="K59" s="50" t="s">
        <v>608</v>
      </c>
      <c r="L59" s="49" t="s">
        <v>594</v>
      </c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86" customHeight="1">
      <c r="A60" s="45" t="s">
        <v>774</v>
      </c>
      <c r="B60" s="46" t="s">
        <v>129</v>
      </c>
      <c r="C60" s="46" t="s">
        <v>775</v>
      </c>
      <c r="D60" s="46" t="s">
        <v>586</v>
      </c>
      <c r="E60" s="46" t="s">
        <v>636</v>
      </c>
      <c r="F60" s="51" t="s">
        <v>637</v>
      </c>
      <c r="G60" s="46" t="s">
        <v>740</v>
      </c>
      <c r="H60" s="46" t="s">
        <v>741</v>
      </c>
      <c r="I60" s="47" t="s">
        <v>591</v>
      </c>
      <c r="J60" s="46" t="s">
        <v>776</v>
      </c>
      <c r="K60" s="50" t="s">
        <v>608</v>
      </c>
      <c r="L60" s="49" t="s">
        <v>594</v>
      </c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86" customHeight="1">
      <c r="A61" s="45" t="s">
        <v>777</v>
      </c>
      <c r="B61" s="46" t="s">
        <v>129</v>
      </c>
      <c r="C61" s="46" t="s">
        <v>778</v>
      </c>
      <c r="D61" s="46" t="s">
        <v>586</v>
      </c>
      <c r="E61" s="46" t="s">
        <v>636</v>
      </c>
      <c r="F61" s="51" t="s">
        <v>637</v>
      </c>
      <c r="G61" s="46" t="s">
        <v>740</v>
      </c>
      <c r="H61" s="46" t="s">
        <v>741</v>
      </c>
      <c r="I61" s="47" t="s">
        <v>591</v>
      </c>
      <c r="J61" s="46" t="s">
        <v>779</v>
      </c>
      <c r="K61" s="50" t="s">
        <v>608</v>
      </c>
      <c r="L61" s="49" t="s">
        <v>594</v>
      </c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86" customHeight="1">
      <c r="A62" s="45" t="s">
        <v>780</v>
      </c>
      <c r="B62" s="46" t="s">
        <v>129</v>
      </c>
      <c r="C62" s="46" t="s">
        <v>781</v>
      </c>
      <c r="D62" s="46" t="s">
        <v>586</v>
      </c>
      <c r="E62" s="46" t="s">
        <v>636</v>
      </c>
      <c r="F62" s="51" t="s">
        <v>637</v>
      </c>
      <c r="G62" s="46" t="s">
        <v>740</v>
      </c>
      <c r="H62" s="46" t="s">
        <v>741</v>
      </c>
      <c r="I62" s="47" t="s">
        <v>591</v>
      </c>
      <c r="J62" s="46" t="s">
        <v>782</v>
      </c>
      <c r="K62" s="50" t="s">
        <v>608</v>
      </c>
      <c r="L62" s="49" t="s">
        <v>594</v>
      </c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86" customHeight="1">
      <c r="A63" s="45" t="s">
        <v>783</v>
      </c>
      <c r="B63" s="46" t="s">
        <v>129</v>
      </c>
      <c r="C63" s="46" t="s">
        <v>784</v>
      </c>
      <c r="D63" s="46" t="s">
        <v>717</v>
      </c>
      <c r="E63" s="46" t="s">
        <v>636</v>
      </c>
      <c r="F63" s="51" t="s">
        <v>637</v>
      </c>
      <c r="G63" s="46" t="s">
        <v>740</v>
      </c>
      <c r="H63" s="46" t="s">
        <v>741</v>
      </c>
      <c r="I63" s="47" t="s">
        <v>591</v>
      </c>
      <c r="J63" s="46" t="s">
        <v>785</v>
      </c>
      <c r="K63" s="50" t="s">
        <v>608</v>
      </c>
      <c r="L63" s="49" t="s">
        <v>594</v>
      </c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86" customHeight="1">
      <c r="A64" s="45" t="s">
        <v>786</v>
      </c>
      <c r="B64" s="46" t="s">
        <v>787</v>
      </c>
      <c r="C64" s="46" t="s">
        <v>788</v>
      </c>
      <c r="D64" s="46" t="s">
        <v>675</v>
      </c>
      <c r="E64" s="46" t="s">
        <v>636</v>
      </c>
      <c r="F64" s="51" t="s">
        <v>637</v>
      </c>
      <c r="G64" s="46" t="s">
        <v>789</v>
      </c>
      <c r="H64" s="46" t="s">
        <v>790</v>
      </c>
      <c r="I64" s="53" t="s">
        <v>680</v>
      </c>
      <c r="J64" s="46" t="s">
        <v>791</v>
      </c>
      <c r="K64" s="48" t="s">
        <v>593</v>
      </c>
      <c r="L64" s="49" t="s">
        <v>594</v>
      </c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86" customHeight="1">
      <c r="A65" s="45" t="s">
        <v>792</v>
      </c>
      <c r="B65" s="46" t="s">
        <v>787</v>
      </c>
      <c r="C65" s="46" t="s">
        <v>793</v>
      </c>
      <c r="D65" s="46" t="s">
        <v>675</v>
      </c>
      <c r="E65" s="46" t="s">
        <v>636</v>
      </c>
      <c r="F65" s="51" t="s">
        <v>637</v>
      </c>
      <c r="G65" s="46" t="s">
        <v>789</v>
      </c>
      <c r="H65" s="46" t="s">
        <v>790</v>
      </c>
      <c r="I65" s="53" t="s">
        <v>680</v>
      </c>
      <c r="J65" s="46" t="s">
        <v>794</v>
      </c>
      <c r="K65" s="48" t="s">
        <v>593</v>
      </c>
      <c r="L65" s="49" t="s">
        <v>594</v>
      </c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86" customHeight="1">
      <c r="A66" s="45" t="s">
        <v>795</v>
      </c>
      <c r="B66" s="46" t="s">
        <v>787</v>
      </c>
      <c r="C66" s="46" t="s">
        <v>796</v>
      </c>
      <c r="D66" s="46" t="s">
        <v>675</v>
      </c>
      <c r="E66" s="46" t="s">
        <v>636</v>
      </c>
      <c r="F66" s="51" t="s">
        <v>637</v>
      </c>
      <c r="G66" s="46" t="s">
        <v>789</v>
      </c>
      <c r="H66" s="46" t="s">
        <v>790</v>
      </c>
      <c r="I66" s="53" t="s">
        <v>680</v>
      </c>
      <c r="J66" s="46" t="s">
        <v>797</v>
      </c>
      <c r="K66" s="48" t="s">
        <v>593</v>
      </c>
      <c r="L66" s="49" t="s">
        <v>594</v>
      </c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86" customHeight="1">
      <c r="A67" s="45" t="s">
        <v>798</v>
      </c>
      <c r="B67" s="46" t="s">
        <v>787</v>
      </c>
      <c r="C67" s="46" t="s">
        <v>799</v>
      </c>
      <c r="D67" s="46" t="s">
        <v>675</v>
      </c>
      <c r="E67" s="46" t="s">
        <v>636</v>
      </c>
      <c r="F67" s="51" t="s">
        <v>637</v>
      </c>
      <c r="G67" s="46" t="s">
        <v>789</v>
      </c>
      <c r="H67" s="46" t="s">
        <v>790</v>
      </c>
      <c r="I67" s="53" t="s">
        <v>680</v>
      </c>
      <c r="J67" s="46" t="s">
        <v>800</v>
      </c>
      <c r="K67" s="48" t="s">
        <v>593</v>
      </c>
      <c r="L67" s="49" t="s">
        <v>594</v>
      </c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86" customHeight="1">
      <c r="A68" s="45" t="s">
        <v>801</v>
      </c>
      <c r="B68" s="46" t="s">
        <v>787</v>
      </c>
      <c r="C68" s="46" t="s">
        <v>802</v>
      </c>
      <c r="D68" s="46" t="s">
        <v>675</v>
      </c>
      <c r="E68" s="46" t="s">
        <v>636</v>
      </c>
      <c r="F68" s="51" t="s">
        <v>637</v>
      </c>
      <c r="G68" s="46" t="s">
        <v>789</v>
      </c>
      <c r="H68" s="46" t="s">
        <v>790</v>
      </c>
      <c r="I68" s="53" t="s">
        <v>680</v>
      </c>
      <c r="J68" s="46" t="s">
        <v>803</v>
      </c>
      <c r="K68" s="50" t="s">
        <v>608</v>
      </c>
      <c r="L68" s="49" t="s">
        <v>594</v>
      </c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86" customHeight="1">
      <c r="A69" s="45" t="s">
        <v>804</v>
      </c>
      <c r="B69" s="46" t="s">
        <v>787</v>
      </c>
      <c r="C69" s="46" t="s">
        <v>805</v>
      </c>
      <c r="D69" s="46" t="s">
        <v>675</v>
      </c>
      <c r="E69" s="46" t="s">
        <v>636</v>
      </c>
      <c r="F69" s="51" t="s">
        <v>637</v>
      </c>
      <c r="G69" s="46" t="s">
        <v>789</v>
      </c>
      <c r="H69" s="46" t="s">
        <v>790</v>
      </c>
      <c r="I69" s="53" t="s">
        <v>680</v>
      </c>
      <c r="J69" s="46" t="s">
        <v>806</v>
      </c>
      <c r="K69" s="50" t="s">
        <v>608</v>
      </c>
      <c r="L69" s="49" t="s">
        <v>594</v>
      </c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86" customHeight="1">
      <c r="A70" s="45" t="s">
        <v>807</v>
      </c>
      <c r="B70" s="46" t="s">
        <v>787</v>
      </c>
      <c r="C70" s="46" t="s">
        <v>808</v>
      </c>
      <c r="D70" s="46" t="s">
        <v>687</v>
      </c>
      <c r="E70" s="46" t="s">
        <v>587</v>
      </c>
      <c r="F70" s="47" t="s">
        <v>588</v>
      </c>
      <c r="G70" s="46" t="s">
        <v>809</v>
      </c>
      <c r="H70" s="46" t="s">
        <v>790</v>
      </c>
      <c r="I70" s="53" t="s">
        <v>680</v>
      </c>
      <c r="J70" s="46" t="s">
        <v>810</v>
      </c>
      <c r="K70" s="50" t="s">
        <v>608</v>
      </c>
      <c r="L70" s="49" t="s">
        <v>594</v>
      </c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86" customHeight="1">
      <c r="A71" s="45" t="s">
        <v>811</v>
      </c>
      <c r="B71" s="46" t="s">
        <v>787</v>
      </c>
      <c r="C71" s="46" t="s">
        <v>812</v>
      </c>
      <c r="D71" s="46" t="s">
        <v>687</v>
      </c>
      <c r="E71" s="46" t="s">
        <v>587</v>
      </c>
      <c r="F71" s="47" t="s">
        <v>588</v>
      </c>
      <c r="G71" s="46" t="s">
        <v>809</v>
      </c>
      <c r="H71" s="46" t="s">
        <v>790</v>
      </c>
      <c r="I71" s="53" t="s">
        <v>680</v>
      </c>
      <c r="J71" s="46" t="s">
        <v>813</v>
      </c>
      <c r="K71" s="50" t="s">
        <v>608</v>
      </c>
      <c r="L71" s="49" t="s">
        <v>594</v>
      </c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86" customHeight="1">
      <c r="A72" s="45" t="s">
        <v>814</v>
      </c>
      <c r="B72" s="46" t="s">
        <v>787</v>
      </c>
      <c r="C72" s="46" t="s">
        <v>815</v>
      </c>
      <c r="D72" s="46" t="s">
        <v>687</v>
      </c>
      <c r="E72" s="46" t="s">
        <v>587</v>
      </c>
      <c r="F72" s="47" t="s">
        <v>588</v>
      </c>
      <c r="G72" s="46" t="s">
        <v>809</v>
      </c>
      <c r="H72" s="46" t="s">
        <v>790</v>
      </c>
      <c r="I72" s="53" t="s">
        <v>680</v>
      </c>
      <c r="J72" s="46" t="s">
        <v>816</v>
      </c>
      <c r="K72" s="50" t="s">
        <v>608</v>
      </c>
      <c r="L72" s="49" t="s">
        <v>594</v>
      </c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86" customHeight="1">
      <c r="A73" s="45" t="s">
        <v>817</v>
      </c>
      <c r="B73" s="46" t="s">
        <v>787</v>
      </c>
      <c r="C73" s="46" t="s">
        <v>818</v>
      </c>
      <c r="D73" s="46" t="s">
        <v>687</v>
      </c>
      <c r="E73" s="46" t="s">
        <v>587</v>
      </c>
      <c r="F73" s="47" t="s">
        <v>588</v>
      </c>
      <c r="G73" s="46" t="s">
        <v>809</v>
      </c>
      <c r="H73" s="46" t="s">
        <v>790</v>
      </c>
      <c r="I73" s="53" t="s">
        <v>680</v>
      </c>
      <c r="J73" s="46" t="s">
        <v>819</v>
      </c>
      <c r="K73" s="50" t="s">
        <v>608</v>
      </c>
      <c r="L73" s="49" t="s">
        <v>594</v>
      </c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86" customHeight="1">
      <c r="A74" s="45" t="s">
        <v>820</v>
      </c>
      <c r="B74" s="46" t="s">
        <v>787</v>
      </c>
      <c r="C74" s="46" t="s">
        <v>821</v>
      </c>
      <c r="D74" s="46" t="s">
        <v>687</v>
      </c>
      <c r="E74" s="46" t="s">
        <v>587</v>
      </c>
      <c r="F74" s="47" t="s">
        <v>588</v>
      </c>
      <c r="G74" s="46" t="s">
        <v>809</v>
      </c>
      <c r="H74" s="46" t="s">
        <v>790</v>
      </c>
      <c r="I74" s="53" t="s">
        <v>680</v>
      </c>
      <c r="J74" s="46" t="s">
        <v>822</v>
      </c>
      <c r="K74" s="50" t="s">
        <v>608</v>
      </c>
      <c r="L74" s="49" t="s">
        <v>594</v>
      </c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86" customHeight="1">
      <c r="A75" s="45" t="s">
        <v>823</v>
      </c>
      <c r="B75" s="46" t="s">
        <v>787</v>
      </c>
      <c r="C75" s="46" t="s">
        <v>824</v>
      </c>
      <c r="D75" s="46" t="s">
        <v>687</v>
      </c>
      <c r="E75" s="46" t="s">
        <v>587</v>
      </c>
      <c r="F75" s="47" t="s">
        <v>588</v>
      </c>
      <c r="G75" s="46" t="s">
        <v>809</v>
      </c>
      <c r="H75" s="46" t="s">
        <v>790</v>
      </c>
      <c r="I75" s="53" t="s">
        <v>680</v>
      </c>
      <c r="J75" s="46" t="s">
        <v>825</v>
      </c>
      <c r="K75" s="50" t="s">
        <v>608</v>
      </c>
      <c r="L75" s="49" t="s">
        <v>594</v>
      </c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86" customHeight="1">
      <c r="A76" s="45" t="s">
        <v>826</v>
      </c>
      <c r="B76" s="46" t="s">
        <v>787</v>
      </c>
      <c r="C76" s="46" t="s">
        <v>827</v>
      </c>
      <c r="D76" s="46" t="s">
        <v>695</v>
      </c>
      <c r="E76" s="46" t="s">
        <v>636</v>
      </c>
      <c r="F76" s="51" t="s">
        <v>637</v>
      </c>
      <c r="G76" s="46" t="s">
        <v>789</v>
      </c>
      <c r="H76" s="46" t="s">
        <v>790</v>
      </c>
      <c r="I76" s="53" t="s">
        <v>680</v>
      </c>
      <c r="J76" s="46" t="s">
        <v>828</v>
      </c>
      <c r="K76" s="50" t="s">
        <v>608</v>
      </c>
      <c r="L76" s="49" t="s">
        <v>594</v>
      </c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86" customHeight="1">
      <c r="A77" s="45" t="s">
        <v>829</v>
      </c>
      <c r="B77" s="46" t="s">
        <v>787</v>
      </c>
      <c r="C77" s="46" t="s">
        <v>830</v>
      </c>
      <c r="D77" s="46" t="s">
        <v>695</v>
      </c>
      <c r="E77" s="46" t="s">
        <v>636</v>
      </c>
      <c r="F77" s="51" t="s">
        <v>637</v>
      </c>
      <c r="G77" s="46" t="s">
        <v>789</v>
      </c>
      <c r="H77" s="46" t="s">
        <v>790</v>
      </c>
      <c r="I77" s="53" t="s">
        <v>680</v>
      </c>
      <c r="J77" s="46" t="s">
        <v>831</v>
      </c>
      <c r="K77" s="50" t="s">
        <v>608</v>
      </c>
      <c r="L77" s="49" t="s">
        <v>594</v>
      </c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86" customHeight="1">
      <c r="A78" s="45" t="s">
        <v>832</v>
      </c>
      <c r="B78" s="46" t="s">
        <v>787</v>
      </c>
      <c r="C78" s="46" t="s">
        <v>833</v>
      </c>
      <c r="D78" s="46" t="s">
        <v>695</v>
      </c>
      <c r="E78" s="46" t="s">
        <v>636</v>
      </c>
      <c r="F78" s="51" t="s">
        <v>637</v>
      </c>
      <c r="G78" s="46" t="s">
        <v>789</v>
      </c>
      <c r="H78" s="46" t="s">
        <v>790</v>
      </c>
      <c r="I78" s="53" t="s">
        <v>680</v>
      </c>
      <c r="J78" s="46" t="s">
        <v>834</v>
      </c>
      <c r="K78" s="50" t="s">
        <v>608</v>
      </c>
      <c r="L78" s="49" t="s">
        <v>594</v>
      </c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86" customHeight="1">
      <c r="A79" s="45" t="s">
        <v>835</v>
      </c>
      <c r="B79" s="46" t="s">
        <v>787</v>
      </c>
      <c r="C79" s="46" t="s">
        <v>836</v>
      </c>
      <c r="D79" s="46" t="s">
        <v>695</v>
      </c>
      <c r="E79" s="46" t="s">
        <v>636</v>
      </c>
      <c r="F79" s="51" t="s">
        <v>637</v>
      </c>
      <c r="G79" s="46" t="s">
        <v>789</v>
      </c>
      <c r="H79" s="46" t="s">
        <v>790</v>
      </c>
      <c r="I79" s="53" t="s">
        <v>680</v>
      </c>
      <c r="J79" s="46" t="s">
        <v>837</v>
      </c>
      <c r="K79" s="50" t="s">
        <v>608</v>
      </c>
      <c r="L79" s="49" t="s">
        <v>594</v>
      </c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86" customHeight="1">
      <c r="A80" s="45" t="s">
        <v>838</v>
      </c>
      <c r="B80" s="46" t="s">
        <v>787</v>
      </c>
      <c r="C80" s="46" t="s">
        <v>839</v>
      </c>
      <c r="D80" s="46" t="s">
        <v>695</v>
      </c>
      <c r="E80" s="46" t="s">
        <v>636</v>
      </c>
      <c r="F80" s="51" t="s">
        <v>637</v>
      </c>
      <c r="G80" s="46" t="s">
        <v>789</v>
      </c>
      <c r="H80" s="46" t="s">
        <v>790</v>
      </c>
      <c r="I80" s="53" t="s">
        <v>680</v>
      </c>
      <c r="J80" s="46" t="s">
        <v>840</v>
      </c>
      <c r="K80" s="50" t="s">
        <v>608</v>
      </c>
      <c r="L80" s="49" t="s">
        <v>594</v>
      </c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86" customHeight="1">
      <c r="A81" s="45" t="s">
        <v>841</v>
      </c>
      <c r="B81" s="46" t="s">
        <v>787</v>
      </c>
      <c r="C81" s="46" t="s">
        <v>842</v>
      </c>
      <c r="D81" s="46" t="s">
        <v>695</v>
      </c>
      <c r="E81" s="46" t="s">
        <v>636</v>
      </c>
      <c r="F81" s="51" t="s">
        <v>637</v>
      </c>
      <c r="G81" s="46" t="s">
        <v>789</v>
      </c>
      <c r="H81" s="46" t="s">
        <v>790</v>
      </c>
      <c r="I81" s="53" t="s">
        <v>680</v>
      </c>
      <c r="J81" s="46" t="s">
        <v>843</v>
      </c>
      <c r="K81" s="50" t="s">
        <v>608</v>
      </c>
      <c r="L81" s="49" t="s">
        <v>594</v>
      </c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86" customHeight="1">
      <c r="A82" s="45" t="s">
        <v>844</v>
      </c>
      <c r="B82" s="46" t="s">
        <v>787</v>
      </c>
      <c r="C82" s="46" t="s">
        <v>845</v>
      </c>
      <c r="D82" s="46" t="s">
        <v>586</v>
      </c>
      <c r="E82" s="46" t="s">
        <v>636</v>
      </c>
      <c r="F82" s="51" t="s">
        <v>637</v>
      </c>
      <c r="G82" s="46" t="s">
        <v>789</v>
      </c>
      <c r="H82" s="46" t="s">
        <v>790</v>
      </c>
      <c r="I82" s="47" t="s">
        <v>591</v>
      </c>
      <c r="J82" s="46" t="s">
        <v>846</v>
      </c>
      <c r="K82" s="48" t="s">
        <v>593</v>
      </c>
      <c r="L82" s="49" t="s">
        <v>594</v>
      </c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86" customHeight="1">
      <c r="A83" s="45" t="s">
        <v>847</v>
      </c>
      <c r="B83" s="46" t="s">
        <v>787</v>
      </c>
      <c r="C83" s="46" t="s">
        <v>848</v>
      </c>
      <c r="D83" s="46" t="s">
        <v>586</v>
      </c>
      <c r="E83" s="46" t="s">
        <v>636</v>
      </c>
      <c r="F83" s="51" t="s">
        <v>637</v>
      </c>
      <c r="G83" s="46" t="s">
        <v>789</v>
      </c>
      <c r="H83" s="46" t="s">
        <v>790</v>
      </c>
      <c r="I83" s="47" t="s">
        <v>591</v>
      </c>
      <c r="J83" s="46" t="s">
        <v>849</v>
      </c>
      <c r="K83" s="48" t="s">
        <v>593</v>
      </c>
      <c r="L83" s="49" t="s">
        <v>594</v>
      </c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86" customHeight="1">
      <c r="A84" s="45" t="s">
        <v>850</v>
      </c>
      <c r="B84" s="46" t="s">
        <v>787</v>
      </c>
      <c r="C84" s="46" t="s">
        <v>851</v>
      </c>
      <c r="D84" s="46" t="s">
        <v>586</v>
      </c>
      <c r="E84" s="46" t="s">
        <v>636</v>
      </c>
      <c r="F84" s="51" t="s">
        <v>637</v>
      </c>
      <c r="G84" s="46" t="s">
        <v>789</v>
      </c>
      <c r="H84" s="46" t="s">
        <v>790</v>
      </c>
      <c r="I84" s="47" t="s">
        <v>591</v>
      </c>
      <c r="J84" s="46" t="s">
        <v>852</v>
      </c>
      <c r="K84" s="48" t="s">
        <v>593</v>
      </c>
      <c r="L84" s="49" t="s">
        <v>594</v>
      </c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86" customHeight="1">
      <c r="A85" s="45" t="s">
        <v>853</v>
      </c>
      <c r="B85" s="46" t="s">
        <v>787</v>
      </c>
      <c r="C85" s="46" t="s">
        <v>854</v>
      </c>
      <c r="D85" s="46" t="s">
        <v>586</v>
      </c>
      <c r="E85" s="46" t="s">
        <v>636</v>
      </c>
      <c r="F85" s="51" t="s">
        <v>637</v>
      </c>
      <c r="G85" s="46" t="s">
        <v>789</v>
      </c>
      <c r="H85" s="46" t="s">
        <v>790</v>
      </c>
      <c r="I85" s="48" t="s">
        <v>606</v>
      </c>
      <c r="J85" s="46" t="s">
        <v>855</v>
      </c>
      <c r="K85" s="50" t="s">
        <v>608</v>
      </c>
      <c r="L85" s="49" t="s">
        <v>594</v>
      </c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86" customHeight="1">
      <c r="A86" s="45" t="s">
        <v>856</v>
      </c>
      <c r="B86" s="46" t="s">
        <v>787</v>
      </c>
      <c r="C86" s="46" t="s">
        <v>857</v>
      </c>
      <c r="D86" s="46" t="s">
        <v>586</v>
      </c>
      <c r="E86" s="46" t="s">
        <v>636</v>
      </c>
      <c r="F86" s="51" t="s">
        <v>637</v>
      </c>
      <c r="G86" s="46" t="s">
        <v>789</v>
      </c>
      <c r="H86" s="46" t="s">
        <v>790</v>
      </c>
      <c r="I86" s="47" t="s">
        <v>591</v>
      </c>
      <c r="J86" s="46" t="s">
        <v>858</v>
      </c>
      <c r="K86" s="50" t="s">
        <v>608</v>
      </c>
      <c r="L86" s="49" t="s">
        <v>594</v>
      </c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86" customHeight="1">
      <c r="A87" s="45" t="s">
        <v>859</v>
      </c>
      <c r="B87" s="46" t="s">
        <v>787</v>
      </c>
      <c r="C87" s="46" t="s">
        <v>860</v>
      </c>
      <c r="D87" s="46" t="s">
        <v>655</v>
      </c>
      <c r="E87" s="46" t="s">
        <v>636</v>
      </c>
      <c r="F87" s="51" t="s">
        <v>637</v>
      </c>
      <c r="G87" s="46" t="s">
        <v>789</v>
      </c>
      <c r="H87" s="46" t="s">
        <v>790</v>
      </c>
      <c r="I87" s="52" t="s">
        <v>656</v>
      </c>
      <c r="J87" s="46" t="s">
        <v>861</v>
      </c>
      <c r="K87" s="50" t="s">
        <v>608</v>
      </c>
      <c r="L87" s="49" t="s">
        <v>594</v>
      </c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86" customHeight="1">
      <c r="A88" s="45" t="s">
        <v>862</v>
      </c>
      <c r="B88" s="46" t="s">
        <v>863</v>
      </c>
      <c r="C88" s="46" t="s">
        <v>864</v>
      </c>
      <c r="D88" s="46" t="s">
        <v>675</v>
      </c>
      <c r="E88" s="46" t="s">
        <v>865</v>
      </c>
      <c r="F88" s="46" t="s">
        <v>866</v>
      </c>
      <c r="G88" s="46" t="s">
        <v>867</v>
      </c>
      <c r="H88" s="46" t="s">
        <v>868</v>
      </c>
      <c r="I88" s="53" t="s">
        <v>680</v>
      </c>
      <c r="J88" s="46" t="s">
        <v>869</v>
      </c>
      <c r="K88" s="48" t="s">
        <v>593</v>
      </c>
      <c r="L88" s="49" t="s">
        <v>594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86" customHeight="1">
      <c r="A89" s="45" t="s">
        <v>870</v>
      </c>
      <c r="B89" s="46" t="s">
        <v>863</v>
      </c>
      <c r="C89" s="46" t="s">
        <v>871</v>
      </c>
      <c r="D89" s="46" t="s">
        <v>675</v>
      </c>
      <c r="E89" s="46" t="s">
        <v>865</v>
      </c>
      <c r="F89" s="46" t="s">
        <v>866</v>
      </c>
      <c r="G89" s="46" t="s">
        <v>867</v>
      </c>
      <c r="H89" s="46" t="s">
        <v>868</v>
      </c>
      <c r="I89" s="53" t="s">
        <v>680</v>
      </c>
      <c r="J89" s="46" t="s">
        <v>872</v>
      </c>
      <c r="K89" s="48" t="s">
        <v>593</v>
      </c>
      <c r="L89" s="49" t="s">
        <v>594</v>
      </c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86" customHeight="1">
      <c r="A90" s="45" t="s">
        <v>873</v>
      </c>
      <c r="B90" s="46" t="s">
        <v>863</v>
      </c>
      <c r="C90" s="46" t="s">
        <v>874</v>
      </c>
      <c r="D90" s="46" t="s">
        <v>675</v>
      </c>
      <c r="E90" s="46" t="s">
        <v>865</v>
      </c>
      <c r="F90" s="46" t="s">
        <v>866</v>
      </c>
      <c r="G90" s="46" t="s">
        <v>867</v>
      </c>
      <c r="H90" s="46" t="s">
        <v>868</v>
      </c>
      <c r="I90" s="53" t="s">
        <v>680</v>
      </c>
      <c r="J90" s="46" t="s">
        <v>875</v>
      </c>
      <c r="K90" s="48" t="s">
        <v>593</v>
      </c>
      <c r="L90" s="49" t="s">
        <v>594</v>
      </c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86" customHeight="1">
      <c r="A91" s="45" t="s">
        <v>876</v>
      </c>
      <c r="B91" s="46" t="s">
        <v>863</v>
      </c>
      <c r="C91" s="46" t="s">
        <v>877</v>
      </c>
      <c r="D91" s="46" t="s">
        <v>675</v>
      </c>
      <c r="E91" s="46" t="s">
        <v>865</v>
      </c>
      <c r="F91" s="46" t="s">
        <v>866</v>
      </c>
      <c r="G91" s="46" t="s">
        <v>867</v>
      </c>
      <c r="H91" s="46" t="s">
        <v>868</v>
      </c>
      <c r="I91" s="53" t="s">
        <v>680</v>
      </c>
      <c r="J91" s="46" t="s">
        <v>878</v>
      </c>
      <c r="K91" s="50" t="s">
        <v>608</v>
      </c>
      <c r="L91" s="49" t="s">
        <v>594</v>
      </c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86" customHeight="1">
      <c r="A92" s="45" t="s">
        <v>879</v>
      </c>
      <c r="B92" s="46" t="s">
        <v>863</v>
      </c>
      <c r="C92" s="46" t="s">
        <v>880</v>
      </c>
      <c r="D92" s="46" t="s">
        <v>675</v>
      </c>
      <c r="E92" s="46" t="s">
        <v>865</v>
      </c>
      <c r="F92" s="46" t="s">
        <v>866</v>
      </c>
      <c r="G92" s="46" t="s">
        <v>867</v>
      </c>
      <c r="H92" s="46" t="s">
        <v>868</v>
      </c>
      <c r="I92" s="53" t="s">
        <v>680</v>
      </c>
      <c r="J92" s="46" t="s">
        <v>881</v>
      </c>
      <c r="K92" s="50" t="s">
        <v>608</v>
      </c>
      <c r="L92" s="49" t="s">
        <v>594</v>
      </c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86" customHeight="1">
      <c r="A93" s="45" t="s">
        <v>882</v>
      </c>
      <c r="B93" s="46" t="s">
        <v>863</v>
      </c>
      <c r="C93" s="46" t="s">
        <v>883</v>
      </c>
      <c r="D93" s="46" t="s">
        <v>675</v>
      </c>
      <c r="E93" s="46" t="s">
        <v>865</v>
      </c>
      <c r="F93" s="46" t="s">
        <v>866</v>
      </c>
      <c r="G93" s="46" t="s">
        <v>867</v>
      </c>
      <c r="H93" s="46" t="s">
        <v>868</v>
      </c>
      <c r="I93" s="53" t="s">
        <v>680</v>
      </c>
      <c r="J93" s="46" t="s">
        <v>884</v>
      </c>
      <c r="K93" s="50" t="s">
        <v>608</v>
      </c>
      <c r="L93" s="49" t="s">
        <v>594</v>
      </c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86" customHeight="1">
      <c r="A94" s="45" t="s">
        <v>885</v>
      </c>
      <c r="B94" s="46" t="s">
        <v>863</v>
      </c>
      <c r="C94" s="46" t="s">
        <v>886</v>
      </c>
      <c r="D94" s="46" t="s">
        <v>687</v>
      </c>
      <c r="E94" s="46" t="s">
        <v>587</v>
      </c>
      <c r="F94" s="47" t="s">
        <v>588</v>
      </c>
      <c r="G94" s="46" t="s">
        <v>887</v>
      </c>
      <c r="H94" s="46" t="s">
        <v>868</v>
      </c>
      <c r="I94" s="53" t="s">
        <v>680</v>
      </c>
      <c r="J94" s="46" t="s">
        <v>888</v>
      </c>
      <c r="K94" s="50" t="s">
        <v>608</v>
      </c>
      <c r="L94" s="49" t="s">
        <v>594</v>
      </c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86" customHeight="1">
      <c r="A95" s="45" t="s">
        <v>889</v>
      </c>
      <c r="B95" s="46" t="s">
        <v>863</v>
      </c>
      <c r="C95" s="46" t="s">
        <v>890</v>
      </c>
      <c r="D95" s="46" t="s">
        <v>687</v>
      </c>
      <c r="E95" s="46" t="s">
        <v>587</v>
      </c>
      <c r="F95" s="47" t="s">
        <v>588</v>
      </c>
      <c r="G95" s="46" t="s">
        <v>887</v>
      </c>
      <c r="H95" s="46" t="s">
        <v>868</v>
      </c>
      <c r="I95" s="53" t="s">
        <v>680</v>
      </c>
      <c r="J95" s="46" t="s">
        <v>891</v>
      </c>
      <c r="K95" s="50" t="s">
        <v>608</v>
      </c>
      <c r="L95" s="49" t="s">
        <v>594</v>
      </c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86" customHeight="1">
      <c r="A96" s="45" t="s">
        <v>892</v>
      </c>
      <c r="B96" s="46" t="s">
        <v>863</v>
      </c>
      <c r="C96" s="46" t="s">
        <v>893</v>
      </c>
      <c r="D96" s="46" t="s">
        <v>687</v>
      </c>
      <c r="E96" s="46" t="s">
        <v>587</v>
      </c>
      <c r="F96" s="47" t="s">
        <v>588</v>
      </c>
      <c r="G96" s="46" t="s">
        <v>887</v>
      </c>
      <c r="H96" s="46" t="s">
        <v>868</v>
      </c>
      <c r="I96" s="53" t="s">
        <v>680</v>
      </c>
      <c r="J96" s="46" t="s">
        <v>894</v>
      </c>
      <c r="K96" s="50" t="s">
        <v>608</v>
      </c>
      <c r="L96" s="49" t="s">
        <v>594</v>
      </c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86" customHeight="1">
      <c r="A97" s="45" t="s">
        <v>895</v>
      </c>
      <c r="B97" s="46" t="s">
        <v>863</v>
      </c>
      <c r="C97" s="46" t="s">
        <v>896</v>
      </c>
      <c r="D97" s="46" t="s">
        <v>687</v>
      </c>
      <c r="E97" s="46" t="s">
        <v>587</v>
      </c>
      <c r="F97" s="47" t="s">
        <v>588</v>
      </c>
      <c r="G97" s="46" t="s">
        <v>887</v>
      </c>
      <c r="H97" s="46" t="s">
        <v>868</v>
      </c>
      <c r="I97" s="53" t="s">
        <v>680</v>
      </c>
      <c r="J97" s="46" t="s">
        <v>897</v>
      </c>
      <c r="K97" s="50" t="s">
        <v>608</v>
      </c>
      <c r="L97" s="49" t="s">
        <v>594</v>
      </c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86" customHeight="1">
      <c r="A98" s="45" t="s">
        <v>898</v>
      </c>
      <c r="B98" s="46" t="s">
        <v>863</v>
      </c>
      <c r="C98" s="46" t="s">
        <v>899</v>
      </c>
      <c r="D98" s="46" t="s">
        <v>687</v>
      </c>
      <c r="E98" s="46" t="s">
        <v>587</v>
      </c>
      <c r="F98" s="47" t="s">
        <v>588</v>
      </c>
      <c r="G98" s="46" t="s">
        <v>887</v>
      </c>
      <c r="H98" s="46" t="s">
        <v>868</v>
      </c>
      <c r="I98" s="53" t="s">
        <v>680</v>
      </c>
      <c r="J98" s="46" t="s">
        <v>900</v>
      </c>
      <c r="K98" s="50" t="s">
        <v>608</v>
      </c>
      <c r="L98" s="49" t="s">
        <v>594</v>
      </c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86" customHeight="1">
      <c r="A99" s="45" t="s">
        <v>901</v>
      </c>
      <c r="B99" s="46" t="s">
        <v>863</v>
      </c>
      <c r="C99" s="46" t="s">
        <v>902</v>
      </c>
      <c r="D99" s="46" t="s">
        <v>687</v>
      </c>
      <c r="E99" s="46" t="s">
        <v>587</v>
      </c>
      <c r="F99" s="47" t="s">
        <v>588</v>
      </c>
      <c r="G99" s="46" t="s">
        <v>887</v>
      </c>
      <c r="H99" s="46" t="s">
        <v>868</v>
      </c>
      <c r="I99" s="53" t="s">
        <v>680</v>
      </c>
      <c r="J99" s="46" t="s">
        <v>903</v>
      </c>
      <c r="K99" s="50" t="s">
        <v>608</v>
      </c>
      <c r="L99" s="49" t="s">
        <v>594</v>
      </c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86" customHeight="1">
      <c r="A100" s="45" t="s">
        <v>904</v>
      </c>
      <c r="B100" s="46" t="s">
        <v>863</v>
      </c>
      <c r="C100" s="46" t="s">
        <v>905</v>
      </c>
      <c r="D100" s="46" t="s">
        <v>695</v>
      </c>
      <c r="E100" s="46" t="s">
        <v>865</v>
      </c>
      <c r="F100" s="46" t="s">
        <v>866</v>
      </c>
      <c r="G100" s="46" t="s">
        <v>867</v>
      </c>
      <c r="H100" s="46" t="s">
        <v>868</v>
      </c>
      <c r="I100" s="53" t="s">
        <v>680</v>
      </c>
      <c r="J100" s="46" t="s">
        <v>906</v>
      </c>
      <c r="K100" s="50" t="s">
        <v>608</v>
      </c>
      <c r="L100" s="49" t="s">
        <v>594</v>
      </c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86" customHeight="1">
      <c r="A101" s="45" t="s">
        <v>907</v>
      </c>
      <c r="B101" s="46" t="s">
        <v>863</v>
      </c>
      <c r="C101" s="46" t="s">
        <v>908</v>
      </c>
      <c r="D101" s="46" t="s">
        <v>695</v>
      </c>
      <c r="E101" s="46" t="s">
        <v>865</v>
      </c>
      <c r="F101" s="46" t="s">
        <v>866</v>
      </c>
      <c r="G101" s="46" t="s">
        <v>867</v>
      </c>
      <c r="H101" s="46" t="s">
        <v>868</v>
      </c>
      <c r="I101" s="53" t="s">
        <v>680</v>
      </c>
      <c r="J101" s="46" t="s">
        <v>909</v>
      </c>
      <c r="K101" s="50" t="s">
        <v>608</v>
      </c>
      <c r="L101" s="49" t="s">
        <v>594</v>
      </c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86" customHeight="1">
      <c r="A102" s="45" t="s">
        <v>910</v>
      </c>
      <c r="B102" s="46" t="s">
        <v>863</v>
      </c>
      <c r="C102" s="46" t="s">
        <v>911</v>
      </c>
      <c r="D102" s="46" t="s">
        <v>695</v>
      </c>
      <c r="E102" s="46" t="s">
        <v>865</v>
      </c>
      <c r="F102" s="46" t="s">
        <v>866</v>
      </c>
      <c r="G102" s="46" t="s">
        <v>867</v>
      </c>
      <c r="H102" s="46" t="s">
        <v>868</v>
      </c>
      <c r="I102" s="53" t="s">
        <v>680</v>
      </c>
      <c r="J102" s="46" t="s">
        <v>912</v>
      </c>
      <c r="K102" s="50" t="s">
        <v>608</v>
      </c>
      <c r="L102" s="49" t="s">
        <v>594</v>
      </c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86" customHeight="1">
      <c r="A103" s="45" t="s">
        <v>913</v>
      </c>
      <c r="B103" s="46" t="s">
        <v>863</v>
      </c>
      <c r="C103" s="46" t="s">
        <v>914</v>
      </c>
      <c r="D103" s="46" t="s">
        <v>695</v>
      </c>
      <c r="E103" s="46" t="s">
        <v>865</v>
      </c>
      <c r="F103" s="46" t="s">
        <v>866</v>
      </c>
      <c r="G103" s="46" t="s">
        <v>867</v>
      </c>
      <c r="H103" s="46" t="s">
        <v>868</v>
      </c>
      <c r="I103" s="53" t="s">
        <v>680</v>
      </c>
      <c r="J103" s="46" t="s">
        <v>915</v>
      </c>
      <c r="K103" s="50" t="s">
        <v>608</v>
      </c>
      <c r="L103" s="49" t="s">
        <v>594</v>
      </c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86" customHeight="1">
      <c r="A104" s="45" t="s">
        <v>916</v>
      </c>
      <c r="B104" s="46" t="s">
        <v>863</v>
      </c>
      <c r="C104" s="46" t="s">
        <v>917</v>
      </c>
      <c r="D104" s="46" t="s">
        <v>695</v>
      </c>
      <c r="E104" s="46" t="s">
        <v>865</v>
      </c>
      <c r="F104" s="46" t="s">
        <v>866</v>
      </c>
      <c r="G104" s="46" t="s">
        <v>867</v>
      </c>
      <c r="H104" s="46" t="s">
        <v>868</v>
      </c>
      <c r="I104" s="53" t="s">
        <v>680</v>
      </c>
      <c r="J104" s="46" t="s">
        <v>918</v>
      </c>
      <c r="K104" s="50" t="s">
        <v>608</v>
      </c>
      <c r="L104" s="49" t="s">
        <v>594</v>
      </c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86" customHeight="1">
      <c r="A105" s="45" t="s">
        <v>919</v>
      </c>
      <c r="B105" s="46" t="s">
        <v>863</v>
      </c>
      <c r="C105" s="46" t="s">
        <v>920</v>
      </c>
      <c r="D105" s="46" t="s">
        <v>695</v>
      </c>
      <c r="E105" s="46" t="s">
        <v>865</v>
      </c>
      <c r="F105" s="46" t="s">
        <v>866</v>
      </c>
      <c r="G105" s="46" t="s">
        <v>867</v>
      </c>
      <c r="H105" s="46" t="s">
        <v>868</v>
      </c>
      <c r="I105" s="53" t="s">
        <v>680</v>
      </c>
      <c r="J105" s="46" t="s">
        <v>921</v>
      </c>
      <c r="K105" s="50" t="s">
        <v>608</v>
      </c>
      <c r="L105" s="49" t="s">
        <v>594</v>
      </c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86" customHeight="1">
      <c r="A106" s="45" t="s">
        <v>922</v>
      </c>
      <c r="B106" s="46" t="s">
        <v>863</v>
      </c>
      <c r="C106" s="46" t="s">
        <v>923</v>
      </c>
      <c r="D106" s="46" t="s">
        <v>717</v>
      </c>
      <c r="E106" s="46" t="s">
        <v>865</v>
      </c>
      <c r="F106" s="46" t="s">
        <v>866</v>
      </c>
      <c r="G106" s="46" t="s">
        <v>867</v>
      </c>
      <c r="H106" s="46" t="s">
        <v>868</v>
      </c>
      <c r="I106" s="47" t="s">
        <v>591</v>
      </c>
      <c r="J106" s="46" t="s">
        <v>924</v>
      </c>
      <c r="K106" s="50" t="s">
        <v>608</v>
      </c>
      <c r="L106" s="49" t="s">
        <v>594</v>
      </c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86" customHeight="1">
      <c r="A107" s="45" t="s">
        <v>925</v>
      </c>
      <c r="B107" s="46" t="s">
        <v>863</v>
      </c>
      <c r="C107" s="46" t="s">
        <v>926</v>
      </c>
      <c r="D107" s="46" t="s">
        <v>717</v>
      </c>
      <c r="E107" s="46" t="s">
        <v>865</v>
      </c>
      <c r="F107" s="46" t="s">
        <v>866</v>
      </c>
      <c r="G107" s="46" t="s">
        <v>867</v>
      </c>
      <c r="H107" s="46" t="s">
        <v>868</v>
      </c>
      <c r="I107" s="47" t="s">
        <v>591</v>
      </c>
      <c r="J107" s="46" t="s">
        <v>927</v>
      </c>
      <c r="K107" s="50" t="s">
        <v>608</v>
      </c>
      <c r="L107" s="49" t="s">
        <v>594</v>
      </c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86" customHeight="1">
      <c r="A108" s="45" t="s">
        <v>928</v>
      </c>
      <c r="B108" s="46" t="s">
        <v>863</v>
      </c>
      <c r="C108" s="46" t="s">
        <v>929</v>
      </c>
      <c r="D108" s="46" t="s">
        <v>717</v>
      </c>
      <c r="E108" s="46" t="s">
        <v>865</v>
      </c>
      <c r="F108" s="46" t="s">
        <v>866</v>
      </c>
      <c r="G108" s="46" t="s">
        <v>867</v>
      </c>
      <c r="H108" s="46" t="s">
        <v>868</v>
      </c>
      <c r="I108" s="47" t="s">
        <v>591</v>
      </c>
      <c r="J108" s="46" t="s">
        <v>930</v>
      </c>
      <c r="K108" s="50" t="s">
        <v>608</v>
      </c>
      <c r="L108" s="49" t="s">
        <v>594</v>
      </c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86" customHeight="1">
      <c r="A109" s="45" t="s">
        <v>931</v>
      </c>
      <c r="B109" s="46" t="s">
        <v>863</v>
      </c>
      <c r="C109" s="46" t="s">
        <v>932</v>
      </c>
      <c r="D109" s="46" t="s">
        <v>717</v>
      </c>
      <c r="E109" s="46" t="s">
        <v>865</v>
      </c>
      <c r="F109" s="46" t="s">
        <v>866</v>
      </c>
      <c r="G109" s="46" t="s">
        <v>867</v>
      </c>
      <c r="H109" s="46" t="s">
        <v>868</v>
      </c>
      <c r="I109" s="47" t="s">
        <v>591</v>
      </c>
      <c r="J109" s="46" t="s">
        <v>933</v>
      </c>
      <c r="K109" s="50" t="s">
        <v>608</v>
      </c>
      <c r="L109" s="49" t="s">
        <v>594</v>
      </c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86" customHeight="1">
      <c r="A110" s="45" t="s">
        <v>934</v>
      </c>
      <c r="B110" s="46" t="s">
        <v>863</v>
      </c>
      <c r="C110" s="46" t="s">
        <v>935</v>
      </c>
      <c r="D110" s="46" t="s">
        <v>717</v>
      </c>
      <c r="E110" s="46" t="s">
        <v>865</v>
      </c>
      <c r="F110" s="46" t="s">
        <v>866</v>
      </c>
      <c r="G110" s="46" t="s">
        <v>867</v>
      </c>
      <c r="H110" s="46" t="s">
        <v>868</v>
      </c>
      <c r="I110" s="47" t="s">
        <v>591</v>
      </c>
      <c r="J110" s="46" t="s">
        <v>936</v>
      </c>
      <c r="K110" s="50" t="s">
        <v>608</v>
      </c>
      <c r="L110" s="49" t="s">
        <v>594</v>
      </c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86" customHeight="1">
      <c r="A111" s="45" t="s">
        <v>937</v>
      </c>
      <c r="B111" s="46" t="s">
        <v>863</v>
      </c>
      <c r="C111" s="46" t="s">
        <v>938</v>
      </c>
      <c r="D111" s="46" t="s">
        <v>655</v>
      </c>
      <c r="E111" s="46" t="s">
        <v>865</v>
      </c>
      <c r="F111" s="46" t="s">
        <v>866</v>
      </c>
      <c r="G111" s="46" t="s">
        <v>867</v>
      </c>
      <c r="H111" s="46" t="s">
        <v>868</v>
      </c>
      <c r="I111" s="52" t="s">
        <v>656</v>
      </c>
      <c r="J111" s="46" t="s">
        <v>939</v>
      </c>
      <c r="K111" s="50" t="s">
        <v>608</v>
      </c>
      <c r="L111" s="49" t="s">
        <v>594</v>
      </c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86" customHeight="1">
      <c r="A112" s="45" t="s">
        <v>940</v>
      </c>
      <c r="B112" s="46" t="s">
        <v>863</v>
      </c>
      <c r="C112" s="46" t="s">
        <v>941</v>
      </c>
      <c r="D112" s="46" t="s">
        <v>655</v>
      </c>
      <c r="E112" s="46" t="s">
        <v>865</v>
      </c>
      <c r="F112" s="46" t="s">
        <v>866</v>
      </c>
      <c r="G112" s="46" t="s">
        <v>867</v>
      </c>
      <c r="H112" s="46" t="s">
        <v>868</v>
      </c>
      <c r="I112" s="52" t="s">
        <v>656</v>
      </c>
      <c r="J112" s="46" t="s">
        <v>942</v>
      </c>
      <c r="K112" s="50" t="s">
        <v>608</v>
      </c>
      <c r="L112" s="49" t="s">
        <v>594</v>
      </c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86" customHeight="1">
      <c r="A113" s="45" t="s">
        <v>943</v>
      </c>
      <c r="B113" s="46" t="s">
        <v>863</v>
      </c>
      <c r="C113" s="46" t="s">
        <v>944</v>
      </c>
      <c r="D113" s="46" t="s">
        <v>655</v>
      </c>
      <c r="E113" s="46" t="s">
        <v>865</v>
      </c>
      <c r="F113" s="46" t="s">
        <v>866</v>
      </c>
      <c r="G113" s="46" t="s">
        <v>867</v>
      </c>
      <c r="H113" s="46" t="s">
        <v>868</v>
      </c>
      <c r="I113" s="52" t="s">
        <v>656</v>
      </c>
      <c r="J113" s="46" t="s">
        <v>945</v>
      </c>
      <c r="K113" s="50" t="s">
        <v>608</v>
      </c>
      <c r="L113" s="49" t="s">
        <v>594</v>
      </c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86" customHeight="1">
      <c r="A114" s="45" t="s">
        <v>946</v>
      </c>
      <c r="B114" s="46" t="s">
        <v>863</v>
      </c>
      <c r="C114" s="46" t="s">
        <v>947</v>
      </c>
      <c r="D114" s="46" t="s">
        <v>655</v>
      </c>
      <c r="E114" s="46" t="s">
        <v>865</v>
      </c>
      <c r="F114" s="46" t="s">
        <v>866</v>
      </c>
      <c r="G114" s="46" t="s">
        <v>867</v>
      </c>
      <c r="H114" s="46" t="s">
        <v>868</v>
      </c>
      <c r="I114" s="52" t="s">
        <v>656</v>
      </c>
      <c r="J114" s="46" t="s">
        <v>948</v>
      </c>
      <c r="K114" s="50" t="s">
        <v>608</v>
      </c>
      <c r="L114" s="49" t="s">
        <v>594</v>
      </c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86" customHeight="1">
      <c r="A115" s="45" t="s">
        <v>949</v>
      </c>
      <c r="B115" s="46" t="s">
        <v>863</v>
      </c>
      <c r="C115" s="46" t="s">
        <v>950</v>
      </c>
      <c r="D115" s="46" t="s">
        <v>951</v>
      </c>
      <c r="E115" s="46" t="s">
        <v>865</v>
      </c>
      <c r="F115" s="46" t="s">
        <v>866</v>
      </c>
      <c r="G115" s="46" t="s">
        <v>867</v>
      </c>
      <c r="H115" s="46" t="s">
        <v>868</v>
      </c>
      <c r="I115" s="51" t="s">
        <v>670</v>
      </c>
      <c r="J115" s="46" t="s">
        <v>952</v>
      </c>
      <c r="K115" s="50" t="s">
        <v>608</v>
      </c>
      <c r="L115" s="49" t="s">
        <v>594</v>
      </c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86" customHeight="1">
      <c r="A116" s="45" t="s">
        <v>953</v>
      </c>
      <c r="B116" s="46" t="s">
        <v>863</v>
      </c>
      <c r="C116" s="46" t="s">
        <v>954</v>
      </c>
      <c r="D116" s="46" t="s">
        <v>955</v>
      </c>
      <c r="E116" s="46" t="s">
        <v>865</v>
      </c>
      <c r="F116" s="46" t="s">
        <v>866</v>
      </c>
      <c r="G116" s="46" t="s">
        <v>867</v>
      </c>
      <c r="H116" s="46" t="s">
        <v>868</v>
      </c>
      <c r="I116" s="51" t="s">
        <v>670</v>
      </c>
      <c r="J116" s="46" t="s">
        <v>956</v>
      </c>
      <c r="K116" s="50" t="s">
        <v>608</v>
      </c>
      <c r="L116" s="49" t="s">
        <v>594</v>
      </c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86" customHeight="1">
      <c r="A117" s="45" t="s">
        <v>957</v>
      </c>
      <c r="B117" s="46" t="s">
        <v>958</v>
      </c>
      <c r="C117" s="46" t="s">
        <v>959</v>
      </c>
      <c r="D117" s="46" t="s">
        <v>655</v>
      </c>
      <c r="E117" s="46" t="s">
        <v>865</v>
      </c>
      <c r="F117" s="46" t="s">
        <v>866</v>
      </c>
      <c r="G117" s="46" t="s">
        <v>867</v>
      </c>
      <c r="H117" s="46" t="s">
        <v>868</v>
      </c>
      <c r="I117" s="52" t="s">
        <v>656</v>
      </c>
      <c r="J117" s="46" t="s">
        <v>960</v>
      </c>
      <c r="K117" s="50" t="s">
        <v>608</v>
      </c>
      <c r="L117" s="49" t="s">
        <v>594</v>
      </c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86" customHeight="1">
      <c r="A118" s="45" t="s">
        <v>961</v>
      </c>
      <c r="B118" s="46" t="s">
        <v>958</v>
      </c>
      <c r="C118" s="46" t="s">
        <v>962</v>
      </c>
      <c r="D118" s="46" t="s">
        <v>655</v>
      </c>
      <c r="E118" s="46" t="s">
        <v>865</v>
      </c>
      <c r="F118" s="46" t="s">
        <v>866</v>
      </c>
      <c r="G118" s="46" t="s">
        <v>867</v>
      </c>
      <c r="H118" s="46" t="s">
        <v>868</v>
      </c>
      <c r="I118" s="52" t="s">
        <v>656</v>
      </c>
      <c r="J118" s="46" t="s">
        <v>963</v>
      </c>
      <c r="K118" s="50" t="s">
        <v>608</v>
      </c>
      <c r="L118" s="49" t="s">
        <v>594</v>
      </c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86" customHeight="1">
      <c r="A119" s="45" t="s">
        <v>964</v>
      </c>
      <c r="B119" s="46" t="s">
        <v>958</v>
      </c>
      <c r="C119" s="46" t="s">
        <v>965</v>
      </c>
      <c r="D119" s="46" t="s">
        <v>655</v>
      </c>
      <c r="E119" s="46" t="s">
        <v>865</v>
      </c>
      <c r="F119" s="46" t="s">
        <v>866</v>
      </c>
      <c r="G119" s="46" t="s">
        <v>867</v>
      </c>
      <c r="H119" s="46" t="s">
        <v>868</v>
      </c>
      <c r="I119" s="52" t="s">
        <v>656</v>
      </c>
      <c r="J119" s="46" t="s">
        <v>966</v>
      </c>
      <c r="K119" s="50" t="s">
        <v>608</v>
      </c>
      <c r="L119" s="49" t="s">
        <v>594</v>
      </c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86" customHeight="1">
      <c r="A120" s="45" t="s">
        <v>967</v>
      </c>
      <c r="B120" s="46" t="s">
        <v>958</v>
      </c>
      <c r="C120" s="46" t="s">
        <v>968</v>
      </c>
      <c r="D120" s="46" t="s">
        <v>655</v>
      </c>
      <c r="E120" s="46" t="s">
        <v>865</v>
      </c>
      <c r="F120" s="46" t="s">
        <v>866</v>
      </c>
      <c r="G120" s="46" t="s">
        <v>867</v>
      </c>
      <c r="H120" s="46" t="s">
        <v>868</v>
      </c>
      <c r="I120" s="52" t="s">
        <v>656</v>
      </c>
      <c r="J120" s="46" t="s">
        <v>969</v>
      </c>
      <c r="K120" s="50" t="s">
        <v>608</v>
      </c>
      <c r="L120" s="49" t="s">
        <v>594</v>
      </c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86" customHeight="1">
      <c r="A121" s="45" t="s">
        <v>970</v>
      </c>
      <c r="B121" s="46" t="s">
        <v>958</v>
      </c>
      <c r="C121" s="46" t="s">
        <v>971</v>
      </c>
      <c r="D121" s="46" t="s">
        <v>655</v>
      </c>
      <c r="E121" s="46" t="s">
        <v>865</v>
      </c>
      <c r="F121" s="46" t="s">
        <v>866</v>
      </c>
      <c r="G121" s="46" t="s">
        <v>867</v>
      </c>
      <c r="H121" s="46" t="s">
        <v>868</v>
      </c>
      <c r="I121" s="52" t="s">
        <v>656</v>
      </c>
      <c r="J121" s="46" t="s">
        <v>972</v>
      </c>
      <c r="K121" s="50" t="s">
        <v>608</v>
      </c>
      <c r="L121" s="49" t="s">
        <v>594</v>
      </c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86" customHeight="1">
      <c r="A122" s="45" t="s">
        <v>973</v>
      </c>
      <c r="B122" s="46" t="s">
        <v>974</v>
      </c>
      <c r="C122" s="46" t="s">
        <v>975</v>
      </c>
      <c r="D122" s="46" t="s">
        <v>675</v>
      </c>
      <c r="E122" s="46" t="s">
        <v>676</v>
      </c>
      <c r="F122" s="52" t="s">
        <v>677</v>
      </c>
      <c r="G122" s="46" t="s">
        <v>976</v>
      </c>
      <c r="H122" s="46" t="s">
        <v>977</v>
      </c>
      <c r="I122" s="53" t="s">
        <v>680</v>
      </c>
      <c r="J122" s="46" t="s">
        <v>978</v>
      </c>
      <c r="K122" s="48" t="s">
        <v>593</v>
      </c>
      <c r="L122" s="49" t="s">
        <v>594</v>
      </c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86" customHeight="1">
      <c r="A123" s="45" t="s">
        <v>979</v>
      </c>
      <c r="B123" s="46" t="s">
        <v>974</v>
      </c>
      <c r="C123" s="46" t="s">
        <v>980</v>
      </c>
      <c r="D123" s="46" t="s">
        <v>675</v>
      </c>
      <c r="E123" s="46" t="s">
        <v>676</v>
      </c>
      <c r="F123" s="52" t="s">
        <v>677</v>
      </c>
      <c r="G123" s="46" t="s">
        <v>976</v>
      </c>
      <c r="H123" s="46" t="s">
        <v>977</v>
      </c>
      <c r="I123" s="53" t="s">
        <v>680</v>
      </c>
      <c r="J123" s="46" t="s">
        <v>981</v>
      </c>
      <c r="K123" s="48" t="s">
        <v>593</v>
      </c>
      <c r="L123" s="49" t="s">
        <v>594</v>
      </c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86" customHeight="1">
      <c r="A124" s="45" t="s">
        <v>982</v>
      </c>
      <c r="B124" s="46" t="s">
        <v>974</v>
      </c>
      <c r="C124" s="46" t="s">
        <v>983</v>
      </c>
      <c r="D124" s="46" t="s">
        <v>687</v>
      </c>
      <c r="E124" s="46" t="s">
        <v>587</v>
      </c>
      <c r="F124" s="47" t="s">
        <v>588</v>
      </c>
      <c r="G124" s="46" t="s">
        <v>984</v>
      </c>
      <c r="H124" s="46" t="s">
        <v>977</v>
      </c>
      <c r="I124" s="53" t="s">
        <v>680</v>
      </c>
      <c r="J124" s="46" t="s">
        <v>985</v>
      </c>
      <c r="K124" s="48" t="s">
        <v>593</v>
      </c>
      <c r="L124" s="49" t="s">
        <v>594</v>
      </c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86" customHeight="1">
      <c r="A125" s="45" t="s">
        <v>986</v>
      </c>
      <c r="B125" s="46" t="s">
        <v>974</v>
      </c>
      <c r="C125" s="46" t="s">
        <v>987</v>
      </c>
      <c r="D125" s="46" t="s">
        <v>687</v>
      </c>
      <c r="E125" s="46" t="s">
        <v>587</v>
      </c>
      <c r="F125" s="47" t="s">
        <v>588</v>
      </c>
      <c r="G125" s="46" t="s">
        <v>984</v>
      </c>
      <c r="H125" s="46" t="s">
        <v>977</v>
      </c>
      <c r="I125" s="53" t="s">
        <v>680</v>
      </c>
      <c r="J125" s="46" t="s">
        <v>988</v>
      </c>
      <c r="K125" s="48" t="s">
        <v>593</v>
      </c>
      <c r="L125" s="49" t="s">
        <v>594</v>
      </c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86" customHeight="1">
      <c r="A126" s="45" t="s">
        <v>989</v>
      </c>
      <c r="B126" s="46" t="s">
        <v>974</v>
      </c>
      <c r="C126" s="46" t="s">
        <v>990</v>
      </c>
      <c r="D126" s="46" t="s">
        <v>695</v>
      </c>
      <c r="E126" s="46" t="s">
        <v>676</v>
      </c>
      <c r="F126" s="52" t="s">
        <v>677</v>
      </c>
      <c r="G126" s="46" t="s">
        <v>976</v>
      </c>
      <c r="H126" s="46" t="s">
        <v>977</v>
      </c>
      <c r="I126" s="53" t="s">
        <v>680</v>
      </c>
      <c r="J126" s="46" t="s">
        <v>991</v>
      </c>
      <c r="K126" s="48" t="s">
        <v>593</v>
      </c>
      <c r="L126" s="49" t="s">
        <v>594</v>
      </c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86" customHeight="1">
      <c r="A127" s="45" t="s">
        <v>992</v>
      </c>
      <c r="B127" s="46" t="s">
        <v>974</v>
      </c>
      <c r="C127" s="46" t="s">
        <v>993</v>
      </c>
      <c r="D127" s="46" t="s">
        <v>695</v>
      </c>
      <c r="E127" s="46" t="s">
        <v>676</v>
      </c>
      <c r="F127" s="52" t="s">
        <v>677</v>
      </c>
      <c r="G127" s="46" t="s">
        <v>976</v>
      </c>
      <c r="H127" s="46" t="s">
        <v>977</v>
      </c>
      <c r="I127" s="53" t="s">
        <v>680</v>
      </c>
      <c r="J127" s="46" t="s">
        <v>994</v>
      </c>
      <c r="K127" s="48" t="s">
        <v>593</v>
      </c>
      <c r="L127" s="49" t="s">
        <v>594</v>
      </c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86" customHeight="1">
      <c r="A128" s="45" t="s">
        <v>995</v>
      </c>
      <c r="B128" s="46" t="s">
        <v>974</v>
      </c>
      <c r="C128" s="46" t="s">
        <v>996</v>
      </c>
      <c r="D128" s="46" t="s">
        <v>717</v>
      </c>
      <c r="E128" s="46" t="s">
        <v>676</v>
      </c>
      <c r="F128" s="52" t="s">
        <v>677</v>
      </c>
      <c r="G128" s="46" t="s">
        <v>976</v>
      </c>
      <c r="H128" s="46" t="s">
        <v>977</v>
      </c>
      <c r="I128" s="47" t="s">
        <v>591</v>
      </c>
      <c r="J128" s="46" t="s">
        <v>997</v>
      </c>
      <c r="K128" s="48" t="s">
        <v>593</v>
      </c>
      <c r="L128" s="49" t="s">
        <v>594</v>
      </c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86" customHeight="1">
      <c r="A129" s="45" t="s">
        <v>998</v>
      </c>
      <c r="B129" s="46" t="s">
        <v>974</v>
      </c>
      <c r="C129" s="46" t="s">
        <v>999</v>
      </c>
      <c r="D129" s="46" t="s">
        <v>717</v>
      </c>
      <c r="E129" s="46" t="s">
        <v>676</v>
      </c>
      <c r="F129" s="52" t="s">
        <v>677</v>
      </c>
      <c r="G129" s="46" t="s">
        <v>976</v>
      </c>
      <c r="H129" s="46" t="s">
        <v>977</v>
      </c>
      <c r="I129" s="47" t="s">
        <v>591</v>
      </c>
      <c r="J129" s="46" t="s">
        <v>1000</v>
      </c>
      <c r="K129" s="48" t="s">
        <v>593</v>
      </c>
      <c r="L129" s="49" t="s">
        <v>594</v>
      </c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86" customHeight="1">
      <c r="A130" s="45" t="s">
        <v>1001</v>
      </c>
      <c r="B130" s="46" t="s">
        <v>974</v>
      </c>
      <c r="C130" s="46" t="s">
        <v>1002</v>
      </c>
      <c r="D130" s="46" t="s">
        <v>717</v>
      </c>
      <c r="E130" s="46" t="s">
        <v>676</v>
      </c>
      <c r="F130" s="52" t="s">
        <v>677</v>
      </c>
      <c r="G130" s="46" t="s">
        <v>976</v>
      </c>
      <c r="H130" s="46" t="s">
        <v>977</v>
      </c>
      <c r="I130" s="47" t="s">
        <v>591</v>
      </c>
      <c r="J130" s="46" t="s">
        <v>1003</v>
      </c>
      <c r="K130" s="48" t="s">
        <v>593</v>
      </c>
      <c r="L130" s="49" t="s">
        <v>594</v>
      </c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86" customHeight="1">
      <c r="A131" s="45" t="s">
        <v>1004</v>
      </c>
      <c r="B131" s="46" t="s">
        <v>974</v>
      </c>
      <c r="C131" s="46" t="s">
        <v>1005</v>
      </c>
      <c r="D131" s="46" t="s">
        <v>717</v>
      </c>
      <c r="E131" s="46" t="s">
        <v>676</v>
      </c>
      <c r="F131" s="52" t="s">
        <v>677</v>
      </c>
      <c r="G131" s="46" t="s">
        <v>976</v>
      </c>
      <c r="H131" s="46" t="s">
        <v>977</v>
      </c>
      <c r="I131" s="47" t="s">
        <v>591</v>
      </c>
      <c r="J131" s="46" t="s">
        <v>1006</v>
      </c>
      <c r="K131" s="48" t="s">
        <v>593</v>
      </c>
      <c r="L131" s="49" t="s">
        <v>594</v>
      </c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86" customHeight="1">
      <c r="A132" s="45" t="s">
        <v>1007</v>
      </c>
      <c r="B132" s="46" t="s">
        <v>974</v>
      </c>
      <c r="C132" s="46" t="s">
        <v>1008</v>
      </c>
      <c r="D132" s="46" t="s">
        <v>717</v>
      </c>
      <c r="E132" s="46" t="s">
        <v>676</v>
      </c>
      <c r="F132" s="52" t="s">
        <v>677</v>
      </c>
      <c r="G132" s="46" t="s">
        <v>976</v>
      </c>
      <c r="H132" s="46" t="s">
        <v>977</v>
      </c>
      <c r="I132" s="47" t="s">
        <v>591</v>
      </c>
      <c r="J132" s="46" t="s">
        <v>1009</v>
      </c>
      <c r="K132" s="48" t="s">
        <v>593</v>
      </c>
      <c r="L132" s="49" t="s">
        <v>594</v>
      </c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86" customHeight="1">
      <c r="A133" s="45" t="s">
        <v>1010</v>
      </c>
      <c r="B133" s="46" t="s">
        <v>974</v>
      </c>
      <c r="C133" s="46" t="s">
        <v>1011</v>
      </c>
      <c r="D133" s="46" t="s">
        <v>717</v>
      </c>
      <c r="E133" s="46" t="s">
        <v>676</v>
      </c>
      <c r="F133" s="52" t="s">
        <v>677</v>
      </c>
      <c r="G133" s="46" t="s">
        <v>976</v>
      </c>
      <c r="H133" s="46" t="s">
        <v>977</v>
      </c>
      <c r="I133" s="47" t="s">
        <v>591</v>
      </c>
      <c r="J133" s="46" t="s">
        <v>1012</v>
      </c>
      <c r="K133" s="48" t="s">
        <v>593</v>
      </c>
      <c r="L133" s="49" t="s">
        <v>594</v>
      </c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86" customHeight="1">
      <c r="A134" s="45" t="s">
        <v>1013</v>
      </c>
      <c r="B134" s="46" t="s">
        <v>974</v>
      </c>
      <c r="C134" s="46" t="s">
        <v>1014</v>
      </c>
      <c r="D134" s="46" t="s">
        <v>717</v>
      </c>
      <c r="E134" s="46" t="s">
        <v>676</v>
      </c>
      <c r="F134" s="52" t="s">
        <v>677</v>
      </c>
      <c r="G134" s="46" t="s">
        <v>976</v>
      </c>
      <c r="H134" s="46" t="s">
        <v>977</v>
      </c>
      <c r="I134" s="47" t="s">
        <v>591</v>
      </c>
      <c r="J134" s="46" t="s">
        <v>1015</v>
      </c>
      <c r="K134" s="48" t="s">
        <v>593</v>
      </c>
      <c r="L134" s="49" t="s">
        <v>594</v>
      </c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86" customHeight="1">
      <c r="A135" s="45" t="s">
        <v>1016</v>
      </c>
      <c r="B135" s="46" t="s">
        <v>974</v>
      </c>
      <c r="C135" s="46" t="s">
        <v>1017</v>
      </c>
      <c r="D135" s="46" t="s">
        <v>717</v>
      </c>
      <c r="E135" s="46" t="s">
        <v>676</v>
      </c>
      <c r="F135" s="52" t="s">
        <v>677</v>
      </c>
      <c r="G135" s="46" t="s">
        <v>976</v>
      </c>
      <c r="H135" s="46" t="s">
        <v>977</v>
      </c>
      <c r="I135" s="47" t="s">
        <v>591</v>
      </c>
      <c r="J135" s="46" t="s">
        <v>1018</v>
      </c>
      <c r="K135" s="48" t="s">
        <v>593</v>
      </c>
      <c r="L135" s="49" t="s">
        <v>594</v>
      </c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86" customHeight="1">
      <c r="A136" s="45" t="s">
        <v>1019</v>
      </c>
      <c r="B136" s="46" t="s">
        <v>974</v>
      </c>
      <c r="C136" s="46" t="s">
        <v>1020</v>
      </c>
      <c r="D136" s="46" t="s">
        <v>717</v>
      </c>
      <c r="E136" s="46" t="s">
        <v>676</v>
      </c>
      <c r="F136" s="52" t="s">
        <v>677</v>
      </c>
      <c r="G136" s="46" t="s">
        <v>976</v>
      </c>
      <c r="H136" s="46" t="s">
        <v>977</v>
      </c>
      <c r="I136" s="47" t="s">
        <v>591</v>
      </c>
      <c r="J136" s="46" t="s">
        <v>1021</v>
      </c>
      <c r="K136" s="48" t="s">
        <v>593</v>
      </c>
      <c r="L136" s="49" t="s">
        <v>594</v>
      </c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86" customHeight="1">
      <c r="A137" s="45" t="s">
        <v>1022</v>
      </c>
      <c r="B137" s="46" t="s">
        <v>974</v>
      </c>
      <c r="C137" s="46" t="s">
        <v>1023</v>
      </c>
      <c r="D137" s="46" t="s">
        <v>1024</v>
      </c>
      <c r="E137" s="46" t="s">
        <v>676</v>
      </c>
      <c r="F137" s="52" t="s">
        <v>677</v>
      </c>
      <c r="G137" s="46" t="s">
        <v>976</v>
      </c>
      <c r="H137" s="46" t="s">
        <v>977</v>
      </c>
      <c r="I137" s="51" t="s">
        <v>670</v>
      </c>
      <c r="J137" s="46" t="s">
        <v>1025</v>
      </c>
      <c r="K137" s="48" t="s">
        <v>593</v>
      </c>
      <c r="L137" s="49" t="s">
        <v>594</v>
      </c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86" customHeight="1">
      <c r="A138" s="45" t="s">
        <v>1026</v>
      </c>
      <c r="B138" s="46" t="s">
        <v>974</v>
      </c>
      <c r="C138" s="46" t="s">
        <v>1027</v>
      </c>
      <c r="D138" s="46" t="s">
        <v>1028</v>
      </c>
      <c r="E138" s="46" t="s">
        <v>676</v>
      </c>
      <c r="F138" s="52" t="s">
        <v>677</v>
      </c>
      <c r="G138" s="46" t="s">
        <v>976</v>
      </c>
      <c r="H138" s="46" t="s">
        <v>977</v>
      </c>
      <c r="I138" s="51" t="s">
        <v>670</v>
      </c>
      <c r="J138" s="46" t="s">
        <v>1029</v>
      </c>
      <c r="K138" s="48" t="s">
        <v>593</v>
      </c>
      <c r="L138" s="49" t="s">
        <v>594</v>
      </c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86" customHeight="1">
      <c r="A139" s="45" t="s">
        <v>1030</v>
      </c>
      <c r="B139" s="46" t="s">
        <v>1031</v>
      </c>
      <c r="C139" s="46" t="s">
        <v>1032</v>
      </c>
      <c r="D139" s="46" t="s">
        <v>1033</v>
      </c>
      <c r="E139" s="46" t="s">
        <v>865</v>
      </c>
      <c r="F139" s="46" t="s">
        <v>866</v>
      </c>
      <c r="G139" s="46" t="s">
        <v>1034</v>
      </c>
      <c r="H139" s="46" t="s">
        <v>1035</v>
      </c>
      <c r="I139" s="51" t="s">
        <v>670</v>
      </c>
      <c r="J139" s="46" t="s">
        <v>1036</v>
      </c>
      <c r="K139" s="50" t="s">
        <v>608</v>
      </c>
      <c r="L139" s="49" t="s">
        <v>594</v>
      </c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86" customHeight="1">
      <c r="A140" s="45" t="s">
        <v>1037</v>
      </c>
      <c r="B140" s="46" t="s">
        <v>1031</v>
      </c>
      <c r="C140" s="46" t="s">
        <v>1038</v>
      </c>
      <c r="D140" s="46" t="s">
        <v>1039</v>
      </c>
      <c r="E140" s="46" t="s">
        <v>865</v>
      </c>
      <c r="F140" s="46" t="s">
        <v>866</v>
      </c>
      <c r="G140" s="46" t="s">
        <v>1034</v>
      </c>
      <c r="H140" s="46" t="s">
        <v>1035</v>
      </c>
      <c r="I140" s="51" t="s">
        <v>670</v>
      </c>
      <c r="J140" s="46" t="s">
        <v>1040</v>
      </c>
      <c r="K140" s="50" t="s">
        <v>608</v>
      </c>
      <c r="L140" s="49" t="s">
        <v>594</v>
      </c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86" customHeight="1">
      <c r="A141" s="45" t="s">
        <v>1041</v>
      </c>
      <c r="B141" s="46" t="s">
        <v>1042</v>
      </c>
      <c r="C141" s="46" t="s">
        <v>1043</v>
      </c>
      <c r="D141" s="46" t="s">
        <v>586</v>
      </c>
      <c r="E141" s="46" t="s">
        <v>587</v>
      </c>
      <c r="F141" s="47" t="s">
        <v>588</v>
      </c>
      <c r="G141" s="46" t="s">
        <v>1044</v>
      </c>
      <c r="H141" s="46" t="s">
        <v>1045</v>
      </c>
      <c r="I141" s="47" t="s">
        <v>591</v>
      </c>
      <c r="J141" s="46" t="s">
        <v>1046</v>
      </c>
      <c r="K141" s="48" t="s">
        <v>593</v>
      </c>
      <c r="L141" s="49" t="s">
        <v>594</v>
      </c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86" customHeight="1">
      <c r="A142" s="45" t="s">
        <v>1047</v>
      </c>
      <c r="B142" s="46" t="s">
        <v>1042</v>
      </c>
      <c r="C142" s="46" t="s">
        <v>1048</v>
      </c>
      <c r="D142" s="46" t="s">
        <v>1049</v>
      </c>
      <c r="E142" s="46" t="s">
        <v>587</v>
      </c>
      <c r="F142" s="47" t="s">
        <v>588</v>
      </c>
      <c r="G142" s="46" t="s">
        <v>1044</v>
      </c>
      <c r="H142" s="46" t="s">
        <v>1045</v>
      </c>
      <c r="I142" s="51" t="s">
        <v>670</v>
      </c>
      <c r="J142" s="46" t="s">
        <v>1050</v>
      </c>
      <c r="K142" s="50" t="s">
        <v>608</v>
      </c>
      <c r="L142" s="49" t="s">
        <v>594</v>
      </c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86" customHeight="1">
      <c r="A143" s="54" t="s">
        <v>1051</v>
      </c>
      <c r="B143" s="55" t="s">
        <v>1042</v>
      </c>
      <c r="C143" s="55" t="s">
        <v>1052</v>
      </c>
      <c r="D143" s="55" t="s">
        <v>1053</v>
      </c>
      <c r="E143" s="55" t="s">
        <v>587</v>
      </c>
      <c r="F143" s="47" t="s">
        <v>588</v>
      </c>
      <c r="G143" s="55" t="s">
        <v>1044</v>
      </c>
      <c r="H143" s="55" t="s">
        <v>1045</v>
      </c>
      <c r="I143" s="51" t="s">
        <v>670</v>
      </c>
      <c r="J143" s="55" t="s">
        <v>1054</v>
      </c>
      <c r="K143" s="50" t="s">
        <v>608</v>
      </c>
      <c r="L143" s="56" t="s">
        <v>594</v>
      </c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</sheetData>
  <mergeCells count="7">
    <mergeCell ref="A1:L1"/>
    <mergeCell ref="A2:L2"/>
    <mergeCell ref="A4:B5"/>
    <mergeCell ref="C4:D5"/>
    <mergeCell ref="E4:F5"/>
    <mergeCell ref="G4:H5"/>
    <mergeCell ref="I4:L5"/>
  </mergeCells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zoomScale="125" workbookViewId="0"/>
  </sheetViews>
  <sheetFormatPr defaultColWidth="8.83203125" defaultRowHeight="14"/>
  <cols>
    <col min="1" max="1" width="30" customWidth="1"/>
    <col min="2" max="2" width="17.83203125" customWidth="1"/>
    <col min="3" max="3" width="25.5" customWidth="1"/>
    <col min="4" max="4" width="57.83203125" customWidth="1"/>
  </cols>
  <sheetData>
    <row r="1" spans="1:4" ht="22.5" customHeight="1">
      <c r="A1" s="3" t="s">
        <v>320</v>
      </c>
      <c r="B1" s="4" t="s">
        <v>321</v>
      </c>
      <c r="C1" s="4" t="s">
        <v>322</v>
      </c>
      <c r="D1" s="5" t="s">
        <v>323</v>
      </c>
    </row>
    <row r="2" spans="1:4" ht="24" customHeight="1">
      <c r="A2" s="1" t="s">
        <v>324</v>
      </c>
      <c r="B2" s="10">
        <v>1066644</v>
      </c>
      <c r="C2" s="6" t="s">
        <v>325</v>
      </c>
      <c r="D2" s="7" t="s">
        <v>326</v>
      </c>
    </row>
    <row r="3" spans="1:4" ht="24" customHeight="1">
      <c r="A3" s="1" t="s">
        <v>327</v>
      </c>
      <c r="B3" s="10">
        <v>385895</v>
      </c>
      <c r="C3" s="6" t="s">
        <v>328</v>
      </c>
      <c r="D3" s="7" t="s">
        <v>329</v>
      </c>
    </row>
    <row r="4" spans="1:4" ht="24" customHeight="1">
      <c r="A4" s="1" t="s">
        <v>330</v>
      </c>
      <c r="B4" s="10">
        <f>B2-B3</f>
        <v>680749</v>
      </c>
      <c r="C4" s="6" t="s">
        <v>331</v>
      </c>
      <c r="D4" s="7" t="s">
        <v>332</v>
      </c>
    </row>
    <row r="5" spans="1:4" ht="24" customHeight="1">
      <c r="A5" s="1" t="s">
        <v>333</v>
      </c>
      <c r="B5" s="11">
        <v>0.7</v>
      </c>
      <c r="C5" s="6" t="s">
        <v>334</v>
      </c>
      <c r="D5" s="7" t="s">
        <v>335</v>
      </c>
    </row>
    <row r="6" spans="1:4" ht="24" customHeight="1">
      <c r="A6" s="1" t="s">
        <v>336</v>
      </c>
      <c r="B6" s="10">
        <f>ROUND(B4*B5,0)</f>
        <v>476524</v>
      </c>
      <c r="C6" s="6" t="s">
        <v>337</v>
      </c>
      <c r="D6" s="7" t="s">
        <v>338</v>
      </c>
    </row>
    <row r="7" spans="1:4" ht="24" customHeight="1">
      <c r="A7" s="1" t="s">
        <v>339</v>
      </c>
      <c r="B7" s="10">
        <f>B4-B6</f>
        <v>204225</v>
      </c>
      <c r="C7" s="6" t="s">
        <v>340</v>
      </c>
      <c r="D7" s="7" t="s">
        <v>341</v>
      </c>
    </row>
    <row r="8" spans="1:4" ht="24" customHeight="1">
      <c r="A8" s="1" t="s">
        <v>342</v>
      </c>
      <c r="B8" s="12">
        <f>(B3+B6)/B2</f>
        <v>0.80853499386861971</v>
      </c>
      <c r="C8" s="6" t="s">
        <v>343</v>
      </c>
      <c r="D8" s="7" t="s">
        <v>344</v>
      </c>
    </row>
    <row r="9" spans="1:4" ht="36" customHeight="1">
      <c r="A9" s="2" t="s">
        <v>345</v>
      </c>
      <c r="B9" s="13" t="s">
        <v>346</v>
      </c>
      <c r="C9" s="8" t="s">
        <v>347</v>
      </c>
      <c r="D9" s="9" t="s">
        <v>348</v>
      </c>
    </row>
  </sheetData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zoomScale="115" workbookViewId="0"/>
  </sheetViews>
  <sheetFormatPr defaultColWidth="8.83203125" defaultRowHeight="14"/>
  <cols>
    <col min="1" max="2" width="7.83203125" customWidth="1"/>
    <col min="3" max="3" width="17.83203125" customWidth="1"/>
    <col min="4" max="4" width="50" customWidth="1"/>
    <col min="5" max="7" width="13.33203125" customWidth="1"/>
    <col min="8" max="8" width="46.6640625" customWidth="1"/>
  </cols>
  <sheetData>
    <row r="1" spans="1:8" ht="25.5" customHeight="1">
      <c r="A1" s="3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5" t="s">
        <v>356</v>
      </c>
    </row>
    <row r="2" spans="1:8" ht="25.5" customHeight="1">
      <c r="A2" s="14" t="s">
        <v>357</v>
      </c>
      <c r="B2" s="6" t="s">
        <v>358</v>
      </c>
      <c r="C2" s="6" t="s">
        <v>359</v>
      </c>
      <c r="D2" s="6" t="s">
        <v>360</v>
      </c>
      <c r="E2" s="16">
        <v>0</v>
      </c>
      <c r="F2" s="18">
        <f>ROUND(Opportunity_70pct!$B$6*E2,0)</f>
        <v>0</v>
      </c>
      <c r="G2" s="18">
        <f>SUM($F$2:F2)</f>
        <v>0</v>
      </c>
      <c r="H2" s="7" t="s">
        <v>361</v>
      </c>
    </row>
    <row r="3" spans="1:8" ht="25.5" customHeight="1">
      <c r="A3" s="14" t="s">
        <v>362</v>
      </c>
      <c r="B3" s="6" t="s">
        <v>363</v>
      </c>
      <c r="C3" s="6" t="s">
        <v>364</v>
      </c>
      <c r="D3" s="6" t="s">
        <v>365</v>
      </c>
      <c r="E3" s="16">
        <v>0.03</v>
      </c>
      <c r="F3" s="18">
        <f>ROUND(Opportunity_70pct!$B$6*E3,0)</f>
        <v>14296</v>
      </c>
      <c r="G3" s="18">
        <f>SUM($F$2:F3)</f>
        <v>14296</v>
      </c>
      <c r="H3" s="7" t="s">
        <v>366</v>
      </c>
    </row>
    <row r="4" spans="1:8" ht="25.5" customHeight="1">
      <c r="A4" s="14" t="s">
        <v>367</v>
      </c>
      <c r="B4" s="6" t="s">
        <v>368</v>
      </c>
      <c r="C4" s="6" t="s">
        <v>364</v>
      </c>
      <c r="D4" s="6" t="s">
        <v>369</v>
      </c>
      <c r="E4" s="16">
        <v>0.05</v>
      </c>
      <c r="F4" s="18">
        <f>ROUND(Opportunity_70pct!$B$6*E4,0)</f>
        <v>23826</v>
      </c>
      <c r="G4" s="18">
        <f>SUM($F$2:F4)</f>
        <v>38122</v>
      </c>
      <c r="H4" s="7" t="s">
        <v>370</v>
      </c>
    </row>
    <row r="5" spans="1:8" ht="25.5" customHeight="1">
      <c r="A5" s="14" t="s">
        <v>371</v>
      </c>
      <c r="B5" s="6" t="s">
        <v>372</v>
      </c>
      <c r="C5" s="6" t="s">
        <v>364</v>
      </c>
      <c r="D5" s="6" t="s">
        <v>373</v>
      </c>
      <c r="E5" s="16">
        <v>7.0000000000000007E-2</v>
      </c>
      <c r="F5" s="18">
        <f>ROUND(Opportunity_70pct!$B$6*E5,0)</f>
        <v>33357</v>
      </c>
      <c r="G5" s="18">
        <f>SUM($F$2:F5)</f>
        <v>71479</v>
      </c>
      <c r="H5" s="7" t="s">
        <v>374</v>
      </c>
    </row>
    <row r="6" spans="1:8" ht="25.5" customHeight="1">
      <c r="A6" s="14" t="s">
        <v>375</v>
      </c>
      <c r="B6" s="6" t="s">
        <v>376</v>
      </c>
      <c r="C6" s="6" t="s">
        <v>377</v>
      </c>
      <c r="D6" s="6" t="s">
        <v>378</v>
      </c>
      <c r="E6" s="16">
        <v>0.08</v>
      </c>
      <c r="F6" s="18">
        <f>ROUND(Opportunity_70pct!$B$6*E6,0)</f>
        <v>38122</v>
      </c>
      <c r="G6" s="18">
        <f>SUM($F$2:F6)</f>
        <v>109601</v>
      </c>
      <c r="H6" s="7" t="s">
        <v>379</v>
      </c>
    </row>
    <row r="7" spans="1:8" ht="25.5" customHeight="1">
      <c r="A7" s="14" t="s">
        <v>380</v>
      </c>
      <c r="B7" s="6" t="s">
        <v>381</v>
      </c>
      <c r="C7" s="6" t="s">
        <v>377</v>
      </c>
      <c r="D7" s="6" t="s">
        <v>382</v>
      </c>
      <c r="E7" s="16">
        <v>0.09</v>
      </c>
      <c r="F7" s="18">
        <f>ROUND(Opportunity_70pct!$B$6*E7,0)</f>
        <v>42887</v>
      </c>
      <c r="G7" s="18">
        <f>SUM($F$2:F7)</f>
        <v>152488</v>
      </c>
      <c r="H7" s="7" t="s">
        <v>383</v>
      </c>
    </row>
    <row r="8" spans="1:8" ht="25.5" customHeight="1">
      <c r="A8" s="14" t="s">
        <v>384</v>
      </c>
      <c r="B8" s="6" t="s">
        <v>385</v>
      </c>
      <c r="C8" s="6" t="s">
        <v>377</v>
      </c>
      <c r="D8" s="6" t="s">
        <v>386</v>
      </c>
      <c r="E8" s="16">
        <v>0.1</v>
      </c>
      <c r="F8" s="18">
        <f>ROUND(Opportunity_70pct!$B$6*E8,0)</f>
        <v>47652</v>
      </c>
      <c r="G8" s="18">
        <f>SUM($F$2:F8)</f>
        <v>200140</v>
      </c>
      <c r="H8" s="7" t="s">
        <v>387</v>
      </c>
    </row>
    <row r="9" spans="1:8" ht="25.5" customHeight="1">
      <c r="A9" s="14" t="s">
        <v>388</v>
      </c>
      <c r="B9" s="6" t="s">
        <v>389</v>
      </c>
      <c r="C9" s="6" t="s">
        <v>390</v>
      </c>
      <c r="D9" s="6" t="s">
        <v>391</v>
      </c>
      <c r="E9" s="16">
        <v>0.11</v>
      </c>
      <c r="F9" s="18">
        <f>ROUND(Opportunity_70pct!$B$6*E9,0)</f>
        <v>52418</v>
      </c>
      <c r="G9" s="18">
        <f>SUM($F$2:F9)</f>
        <v>252558</v>
      </c>
      <c r="H9" s="7" t="s">
        <v>392</v>
      </c>
    </row>
    <row r="10" spans="1:8" ht="25.5" customHeight="1">
      <c r="A10" s="14" t="s">
        <v>393</v>
      </c>
      <c r="B10" s="6" t="s">
        <v>394</v>
      </c>
      <c r="C10" s="6" t="s">
        <v>390</v>
      </c>
      <c r="D10" s="6" t="s">
        <v>395</v>
      </c>
      <c r="E10" s="16">
        <v>0.11</v>
      </c>
      <c r="F10" s="18">
        <f>ROUND(Opportunity_70pct!$B$6*E10,0)</f>
        <v>52418</v>
      </c>
      <c r="G10" s="18">
        <f>SUM($F$2:F10)</f>
        <v>304976</v>
      </c>
      <c r="H10" s="7" t="s">
        <v>396</v>
      </c>
    </row>
    <row r="11" spans="1:8" ht="25.5" customHeight="1">
      <c r="A11" s="14" t="s">
        <v>397</v>
      </c>
      <c r="B11" s="6" t="s">
        <v>398</v>
      </c>
      <c r="C11" s="6" t="s">
        <v>390</v>
      </c>
      <c r="D11" s="6" t="s">
        <v>399</v>
      </c>
      <c r="E11" s="16">
        <v>0.12</v>
      </c>
      <c r="F11" s="18">
        <f>ROUND(Opportunity_70pct!$B$6*E11,0)</f>
        <v>57183</v>
      </c>
      <c r="G11" s="18">
        <f>SUM($F$2:F11)</f>
        <v>362159</v>
      </c>
      <c r="H11" s="7" t="s">
        <v>400</v>
      </c>
    </row>
    <row r="12" spans="1:8" ht="25.5" customHeight="1">
      <c r="A12" s="14" t="s">
        <v>401</v>
      </c>
      <c r="B12" s="6" t="s">
        <v>402</v>
      </c>
      <c r="C12" s="6" t="s">
        <v>403</v>
      </c>
      <c r="D12" s="6" t="s">
        <v>404</v>
      </c>
      <c r="E12" s="16">
        <v>0.12</v>
      </c>
      <c r="F12" s="18">
        <f>ROUND(Opportunity_70pct!$B$6*E12,0)</f>
        <v>57183</v>
      </c>
      <c r="G12" s="18">
        <f>SUM($F$2:F12)</f>
        <v>419342</v>
      </c>
      <c r="H12" s="7" t="s">
        <v>405</v>
      </c>
    </row>
    <row r="13" spans="1:8" ht="25.5" customHeight="1">
      <c r="A13" s="15" t="s">
        <v>406</v>
      </c>
      <c r="B13" s="8" t="s">
        <v>407</v>
      </c>
      <c r="C13" s="8" t="s">
        <v>403</v>
      </c>
      <c r="D13" s="8" t="s">
        <v>408</v>
      </c>
      <c r="E13" s="17">
        <v>0.12</v>
      </c>
      <c r="F13" s="19">
        <f>Opportunity_70pct!$B$6-G12</f>
        <v>57182</v>
      </c>
      <c r="G13" s="19">
        <f>SUM($F$2:F13)</f>
        <v>476524</v>
      </c>
      <c r="H13" s="9" t="s">
        <v>409</v>
      </c>
    </row>
  </sheetData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showGridLines="0" zoomScale="173" workbookViewId="0"/>
  </sheetViews>
  <sheetFormatPr defaultColWidth="8.83203125" defaultRowHeight="14"/>
  <cols>
    <col min="1" max="1" width="20" customWidth="1"/>
    <col min="2" max="4" width="11.1640625" customWidth="1"/>
    <col min="5" max="5" width="15" customWidth="1"/>
    <col min="6" max="6" width="12.1640625" customWidth="1"/>
    <col min="7" max="7" width="14.5" customWidth="1"/>
    <col min="8" max="8" width="57.83203125" customWidth="1"/>
  </cols>
  <sheetData>
    <row r="1" spans="1:8" ht="25.5" customHeight="1">
      <c r="A1" s="3" t="s">
        <v>1</v>
      </c>
      <c r="B1" s="4" t="s">
        <v>410</v>
      </c>
      <c r="C1" s="4" t="s">
        <v>411</v>
      </c>
      <c r="D1" s="4" t="s">
        <v>412</v>
      </c>
      <c r="E1" s="4" t="s">
        <v>413</v>
      </c>
      <c r="F1" s="4" t="s">
        <v>414</v>
      </c>
      <c r="G1" s="4" t="s">
        <v>415</v>
      </c>
      <c r="H1" s="5" t="s">
        <v>416</v>
      </c>
    </row>
    <row r="2" spans="1:8" ht="25.5" customHeight="1">
      <c r="A2" s="14" t="s">
        <v>23</v>
      </c>
      <c r="B2" s="18">
        <v>4</v>
      </c>
      <c r="C2" s="18">
        <v>0</v>
      </c>
      <c r="D2" s="18">
        <v>0</v>
      </c>
      <c r="E2" s="6" t="s">
        <v>417</v>
      </c>
      <c r="F2" s="20">
        <v>0</v>
      </c>
      <c r="G2" s="18">
        <f>ROUND(Opportunity_70pct!$B$6*F2,0)</f>
        <v>0</v>
      </c>
      <c r="H2" s="7" t="s">
        <v>418</v>
      </c>
    </row>
    <row r="3" spans="1:8" ht="25.5" customHeight="1">
      <c r="A3" s="14" t="s">
        <v>43</v>
      </c>
      <c r="B3" s="18">
        <v>0</v>
      </c>
      <c r="C3" s="18">
        <v>13</v>
      </c>
      <c r="D3" s="18">
        <v>13</v>
      </c>
      <c r="E3" s="6" t="s">
        <v>419</v>
      </c>
      <c r="F3" s="20">
        <v>0.17571480282237939</v>
      </c>
      <c r="G3" s="18">
        <f>ROUND(Opportunity_70pct!$B$6*F3,0)</f>
        <v>83732</v>
      </c>
      <c r="H3" s="7" t="s">
        <v>420</v>
      </c>
    </row>
    <row r="4" spans="1:8" ht="25.5" customHeight="1">
      <c r="A4" s="14" t="s">
        <v>26</v>
      </c>
      <c r="B4" s="18">
        <v>2</v>
      </c>
      <c r="C4" s="18">
        <v>29</v>
      </c>
      <c r="D4" s="18">
        <v>29</v>
      </c>
      <c r="E4" s="6" t="s">
        <v>421</v>
      </c>
      <c r="F4" s="20">
        <v>0.28909438665099146</v>
      </c>
      <c r="G4" s="18">
        <f>ROUND(Opportunity_70pct!$B$6*F4,0)</f>
        <v>137760</v>
      </c>
      <c r="H4" s="7" t="s">
        <v>422</v>
      </c>
    </row>
    <row r="5" spans="1:8" ht="25.5" customHeight="1">
      <c r="A5" s="14" t="s">
        <v>8</v>
      </c>
      <c r="B5" s="18">
        <v>2</v>
      </c>
      <c r="C5" s="18">
        <v>24</v>
      </c>
      <c r="D5" s="18">
        <v>24</v>
      </c>
      <c r="E5" s="6" t="s">
        <v>423</v>
      </c>
      <c r="F5" s="20">
        <v>0.20591106469535772</v>
      </c>
      <c r="G5" s="18">
        <f>ROUND(Opportunity_70pct!$B$6*F5,0)</f>
        <v>98122</v>
      </c>
      <c r="H5" s="7" t="s">
        <v>424</v>
      </c>
    </row>
    <row r="6" spans="1:8" ht="25.5" customHeight="1">
      <c r="A6" s="14" t="s">
        <v>92</v>
      </c>
      <c r="B6" s="18">
        <v>0</v>
      </c>
      <c r="C6" s="18">
        <v>18</v>
      </c>
      <c r="D6" s="18">
        <v>18</v>
      </c>
      <c r="E6" s="6" t="s">
        <v>425</v>
      </c>
      <c r="F6" s="20">
        <v>5.9868147064635627E-2</v>
      </c>
      <c r="G6" s="18">
        <f>ROUND(Opportunity_70pct!$B$6*F6,0)</f>
        <v>28529</v>
      </c>
      <c r="H6" s="7" t="s">
        <v>426</v>
      </c>
    </row>
    <row r="7" spans="1:8" ht="25.5" customHeight="1">
      <c r="A7" s="14" t="s">
        <v>11</v>
      </c>
      <c r="B7" s="18">
        <v>1</v>
      </c>
      <c r="C7" s="18">
        <v>17</v>
      </c>
      <c r="D7" s="18">
        <v>17</v>
      </c>
      <c r="E7" s="6" t="s">
        <v>427</v>
      </c>
      <c r="F7" s="20">
        <v>0.13604860959564205</v>
      </c>
      <c r="G7" s="18">
        <f>ROUND(Opportunity_70pct!$B$6*F7,0)</f>
        <v>64830</v>
      </c>
      <c r="H7" s="7" t="s">
        <v>428</v>
      </c>
    </row>
    <row r="8" spans="1:8" ht="25.5" customHeight="1">
      <c r="A8" s="14" t="s">
        <v>129</v>
      </c>
      <c r="B8" s="18">
        <v>0</v>
      </c>
      <c r="C8" s="18">
        <v>15</v>
      </c>
      <c r="D8" s="18">
        <v>15</v>
      </c>
      <c r="E8" s="6" t="s">
        <v>429</v>
      </c>
      <c r="F8" s="20">
        <v>4.2143648852528831E-2</v>
      </c>
      <c r="G8" s="18">
        <f>ROUND(Opportunity_70pct!$B$6*F8,0)</f>
        <v>20082</v>
      </c>
      <c r="H8" s="7" t="s">
        <v>430</v>
      </c>
    </row>
    <row r="9" spans="1:8" ht="25.5" customHeight="1">
      <c r="A9" s="14" t="s">
        <v>71</v>
      </c>
      <c r="B9" s="18">
        <v>0</v>
      </c>
      <c r="C9" s="18">
        <v>10</v>
      </c>
      <c r="D9" s="18">
        <v>10</v>
      </c>
      <c r="E9" s="6" t="s">
        <v>431</v>
      </c>
      <c r="F9" s="20">
        <v>2.6831472168983753E-2</v>
      </c>
      <c r="G9" s="18">
        <f>ROUND(Opportunity_70pct!$B$6*F9,0)</f>
        <v>12786</v>
      </c>
      <c r="H9" s="7" t="s">
        <v>432</v>
      </c>
    </row>
    <row r="10" spans="1:8" ht="25.5" customHeight="1">
      <c r="A10" s="14" t="s">
        <v>266</v>
      </c>
      <c r="B10" s="18">
        <v>0</v>
      </c>
      <c r="C10" s="18">
        <v>5</v>
      </c>
      <c r="D10" s="18">
        <v>5</v>
      </c>
      <c r="E10" s="6" t="s">
        <v>433</v>
      </c>
      <c r="F10" s="20">
        <v>9.8187197245624396E-3</v>
      </c>
      <c r="G10" s="18">
        <f>ROUND(Opportunity_70pct!$B$6*F10,0)</f>
        <v>4679</v>
      </c>
      <c r="H10" s="7" t="s">
        <v>434</v>
      </c>
    </row>
    <row r="11" spans="1:8" ht="25.5" customHeight="1">
      <c r="A11" s="14" t="s">
        <v>4</v>
      </c>
      <c r="B11" s="18">
        <v>4</v>
      </c>
      <c r="C11" s="18">
        <v>3</v>
      </c>
      <c r="D11" s="18">
        <v>3</v>
      </c>
      <c r="E11" s="6" t="s">
        <v>435</v>
      </c>
      <c r="F11" s="20">
        <v>4.4750428700356323E-2</v>
      </c>
      <c r="G11" s="18">
        <f>ROUND(Opportunity_70pct!$B$6*F11,0)</f>
        <v>21325</v>
      </c>
      <c r="H11" s="7" t="s">
        <v>436</v>
      </c>
    </row>
    <row r="12" spans="1:8" ht="25.5" customHeight="1">
      <c r="A12" s="14" t="s">
        <v>16</v>
      </c>
      <c r="B12" s="18">
        <v>3</v>
      </c>
      <c r="C12" s="18">
        <v>2</v>
      </c>
      <c r="D12" s="18">
        <v>2</v>
      </c>
      <c r="E12" s="6" t="s">
        <v>437</v>
      </c>
      <c r="F12" s="20">
        <v>9.8187197245624396E-3</v>
      </c>
      <c r="G12" s="18">
        <f>ROUND(Opportunity_70pct!$B$6*F12,0)</f>
        <v>4679</v>
      </c>
      <c r="H12" s="7" t="s">
        <v>438</v>
      </c>
    </row>
    <row r="13" spans="1:8" ht="25.5" customHeight="1">
      <c r="A13" s="15" t="s">
        <v>439</v>
      </c>
      <c r="B13" s="19">
        <f>SUM(B2:B12)</f>
        <v>16</v>
      </c>
      <c r="C13" s="19">
        <f>SUM(C2:C12)</f>
        <v>136</v>
      </c>
      <c r="D13" s="19">
        <f>SUM(D2:D12)</f>
        <v>136</v>
      </c>
      <c r="E13" s="8" t="s">
        <v>440</v>
      </c>
      <c r="F13" s="21">
        <f>SUM(F2:F12)</f>
        <v>0.99999999999999989</v>
      </c>
      <c r="G13" s="19">
        <f>SUM(G2:G12)</f>
        <v>476524</v>
      </c>
      <c r="H13" s="9" t="s">
        <v>441</v>
      </c>
    </row>
  </sheetData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8"/>
  <sheetViews>
    <sheetView showGridLines="0" workbookViewId="0">
      <selection sqref="A1:P1"/>
    </sheetView>
  </sheetViews>
  <sheetFormatPr defaultColWidth="8.83203125" defaultRowHeight="14"/>
  <cols>
    <col min="1" max="1" width="18.83203125" customWidth="1"/>
    <col min="2" max="2" width="31.1640625" customWidth="1"/>
    <col min="3" max="3" width="25.5" customWidth="1"/>
    <col min="4" max="4" width="13.83203125" customWidth="1"/>
    <col min="5" max="7" width="12.1640625" customWidth="1"/>
    <col min="8" max="8" width="30" customWidth="1"/>
    <col min="9" max="11" width="14.6640625" customWidth="1"/>
    <col min="12" max="12" width="18.83203125" customWidth="1"/>
    <col min="13" max="16" width="12.1640625" customWidth="1"/>
  </cols>
  <sheetData>
    <row r="1" spans="1:16" ht="19">
      <c r="A1" s="93" t="s">
        <v>442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5"/>
    </row>
    <row r="2" spans="1:16" ht="31.5" customHeight="1">
      <c r="A2" s="96" t="s">
        <v>443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8"/>
    </row>
    <row r="3" spans="1:16">
      <c r="A3" s="14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</row>
    <row r="4" spans="1:16">
      <c r="A4" s="22" t="s">
        <v>320</v>
      </c>
      <c r="B4" s="23" t="s">
        <v>321</v>
      </c>
      <c r="C4" s="23" t="s">
        <v>323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7"/>
    </row>
    <row r="5" spans="1:16" ht="31.5" customHeight="1">
      <c r="A5" s="14" t="s">
        <v>444</v>
      </c>
      <c r="B5" s="18">
        <f>Opportunity_70pct!$B$6</f>
        <v>476524</v>
      </c>
      <c r="C5" s="6" t="s">
        <v>445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/>
    </row>
    <row r="6" spans="1:16" ht="31.5" customHeight="1">
      <c r="A6" s="14" t="s">
        <v>446</v>
      </c>
      <c r="B6" s="18">
        <f>SUM(I16:I19)</f>
        <v>11156618150</v>
      </c>
      <c r="C6" s="6" t="s">
        <v>447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/>
    </row>
    <row r="7" spans="1:16" ht="31.5" customHeight="1">
      <c r="A7" s="14" t="s">
        <v>448</v>
      </c>
      <c r="B7" s="18">
        <f>SUM(J16:J19)</f>
        <v>6266290600</v>
      </c>
      <c r="C7" s="6" t="s">
        <v>449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/>
    </row>
    <row r="8" spans="1:16" ht="31.5" customHeight="1">
      <c r="A8" s="14" t="s">
        <v>450</v>
      </c>
      <c r="B8" s="18">
        <f>SUM(K16:K19)</f>
        <v>2332584980</v>
      </c>
      <c r="C8" s="6" t="s">
        <v>451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7"/>
    </row>
    <row r="9" spans="1:16" ht="31.5" customHeight="1">
      <c r="A9" s="14" t="s">
        <v>452</v>
      </c>
      <c r="B9" s="25">
        <f>P20</f>
        <v>17615.752056249999</v>
      </c>
      <c r="C9" s="6" t="s">
        <v>453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7"/>
    </row>
    <row r="10" spans="1:16" ht="31.5" customHeight="1">
      <c r="A10" s="14" t="s">
        <v>454</v>
      </c>
      <c r="B10" s="25">
        <f>G33</f>
        <v>1731520</v>
      </c>
      <c r="C10" s="6" t="s">
        <v>455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7"/>
    </row>
    <row r="11" spans="1:16" ht="31.5" customHeight="1">
      <c r="A11" s="26" t="s">
        <v>456</v>
      </c>
      <c r="B11" s="27">
        <f>B9+B10</f>
        <v>1749135.7520562499</v>
      </c>
      <c r="C11" s="28" t="s">
        <v>457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7"/>
    </row>
    <row r="12" spans="1:16" ht="31.5" customHeight="1">
      <c r="A12" s="26" t="s">
        <v>458</v>
      </c>
      <c r="B12" s="29">
        <f>B11/B5</f>
        <v>3.6706141811456505</v>
      </c>
      <c r="C12" s="28" t="s">
        <v>459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7"/>
    </row>
    <row r="13" spans="1:16" ht="31.5" customHeight="1">
      <c r="A13" s="14" t="s">
        <v>460</v>
      </c>
      <c r="B13" s="30">
        <v>1.25</v>
      </c>
      <c r="C13" s="6" t="s">
        <v>461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7"/>
    </row>
    <row r="14" spans="1:16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7"/>
    </row>
    <row r="15" spans="1:16" ht="28.5" customHeight="1">
      <c r="A15" s="22" t="s">
        <v>462</v>
      </c>
      <c r="B15" s="23" t="s">
        <v>463</v>
      </c>
      <c r="C15" s="23" t="s">
        <v>464</v>
      </c>
      <c r="D15" s="23" t="s">
        <v>465</v>
      </c>
      <c r="E15" s="23" t="s">
        <v>466</v>
      </c>
      <c r="F15" s="23" t="s">
        <v>467</v>
      </c>
      <c r="G15" s="23" t="s">
        <v>468</v>
      </c>
      <c r="H15" s="23" t="s">
        <v>469</v>
      </c>
      <c r="I15" s="23" t="s">
        <v>470</v>
      </c>
      <c r="J15" s="23" t="s">
        <v>471</v>
      </c>
      <c r="K15" s="23" t="s">
        <v>472</v>
      </c>
      <c r="L15" s="23" t="s">
        <v>473</v>
      </c>
      <c r="M15" s="23" t="s">
        <v>474</v>
      </c>
      <c r="N15" s="23" t="s">
        <v>475</v>
      </c>
      <c r="O15" s="23" t="s">
        <v>476</v>
      </c>
      <c r="P15" s="24" t="s">
        <v>477</v>
      </c>
    </row>
    <row r="16" spans="1:16" ht="28.5" customHeight="1">
      <c r="A16" s="14" t="s">
        <v>478</v>
      </c>
      <c r="B16" s="6" t="s">
        <v>479</v>
      </c>
      <c r="C16" s="16">
        <v>0.45</v>
      </c>
      <c r="D16" s="18">
        <f>$B$5*C16</f>
        <v>214435.80000000002</v>
      </c>
      <c r="E16" s="31">
        <v>2</v>
      </c>
      <c r="F16" s="18">
        <v>3500</v>
      </c>
      <c r="G16" s="18">
        <v>1500</v>
      </c>
      <c r="H16" s="18">
        <v>700</v>
      </c>
      <c r="I16" s="18">
        <f>D16*E16*F16</f>
        <v>1501050600.0000002</v>
      </c>
      <c r="J16" s="18">
        <f>D16*E16*G16</f>
        <v>643307400</v>
      </c>
      <c r="K16" s="18">
        <f>D16*E16*H16</f>
        <v>300210120</v>
      </c>
      <c r="L16" s="6" t="s">
        <v>480</v>
      </c>
      <c r="M16" s="32">
        <v>0.1</v>
      </c>
      <c r="N16" s="32">
        <v>0.01</v>
      </c>
      <c r="O16" s="32">
        <v>0.4</v>
      </c>
      <c r="P16" s="33">
        <f>((I16/1000000)*M16+(J16/1000000)*N16+(K16/1000000)*O16)*$B$13</f>
        <v>345.77772750000008</v>
      </c>
    </row>
    <row r="17" spans="1:16" ht="28.5" customHeight="1">
      <c r="A17" s="14" t="s">
        <v>481</v>
      </c>
      <c r="B17" s="6" t="s">
        <v>482</v>
      </c>
      <c r="C17" s="16">
        <v>0.35</v>
      </c>
      <c r="D17" s="18">
        <f>$B$5*C17</f>
        <v>166783.4</v>
      </c>
      <c r="E17" s="31">
        <v>3.5</v>
      </c>
      <c r="F17" s="18">
        <v>6500</v>
      </c>
      <c r="G17" s="18">
        <v>4000</v>
      </c>
      <c r="H17" s="18">
        <v>1400</v>
      </c>
      <c r="I17" s="18">
        <f>D17*E17*F17</f>
        <v>3794322350</v>
      </c>
      <c r="J17" s="18">
        <f>D17*E17*G17</f>
        <v>2334967600</v>
      </c>
      <c r="K17" s="18">
        <f>D17*E17*H17</f>
        <v>817238660</v>
      </c>
      <c r="L17" s="6" t="s">
        <v>483</v>
      </c>
      <c r="M17" s="32">
        <v>0.3</v>
      </c>
      <c r="N17" s="32">
        <v>0.03</v>
      </c>
      <c r="O17" s="32">
        <v>2.5</v>
      </c>
      <c r="P17" s="33">
        <f>((I17/1000000)*M17+(J17/1000000)*N17+(K17/1000000)*O17)*$B$13</f>
        <v>4064.3029787499995</v>
      </c>
    </row>
    <row r="18" spans="1:16" ht="28.5" customHeight="1">
      <c r="A18" s="14" t="s">
        <v>484</v>
      </c>
      <c r="B18" s="6" t="s">
        <v>485</v>
      </c>
      <c r="C18" s="16">
        <v>0.15</v>
      </c>
      <c r="D18" s="18">
        <f>$B$5*C18</f>
        <v>71478.599999999991</v>
      </c>
      <c r="E18" s="31">
        <v>5</v>
      </c>
      <c r="F18" s="18">
        <v>10000</v>
      </c>
      <c r="G18" s="18">
        <v>6000</v>
      </c>
      <c r="H18" s="18">
        <v>2200</v>
      </c>
      <c r="I18" s="18">
        <f>D18*E18*F18</f>
        <v>3573929999.9999995</v>
      </c>
      <c r="J18" s="18">
        <f>D18*E18*G18</f>
        <v>2144357999.9999998</v>
      </c>
      <c r="K18" s="18">
        <f>D18*E18*H18</f>
        <v>786264599.99999988</v>
      </c>
      <c r="L18" s="6" t="s">
        <v>483</v>
      </c>
      <c r="M18" s="32">
        <v>0.3</v>
      </c>
      <c r="N18" s="32">
        <v>0.03</v>
      </c>
      <c r="O18" s="32">
        <v>2.5</v>
      </c>
      <c r="P18" s="33">
        <f>((I18/1000000)*M18+(J18/1000000)*N18+(K18/1000000)*O18)*$B$13</f>
        <v>3877.7140499999996</v>
      </c>
    </row>
    <row r="19" spans="1:16" ht="28.5" customHeight="1">
      <c r="A19" s="14" t="s">
        <v>486</v>
      </c>
      <c r="B19" s="6" t="s">
        <v>487</v>
      </c>
      <c r="C19" s="16">
        <v>0.05</v>
      </c>
      <c r="D19" s="18">
        <f>$B$5*C19</f>
        <v>23826.2</v>
      </c>
      <c r="E19" s="31">
        <v>6</v>
      </c>
      <c r="F19" s="18">
        <v>16000</v>
      </c>
      <c r="G19" s="18">
        <v>8000</v>
      </c>
      <c r="H19" s="18">
        <v>3000</v>
      </c>
      <c r="I19" s="18">
        <f>D19*E19*F19</f>
        <v>2287315200</v>
      </c>
      <c r="J19" s="18">
        <f>D19*E19*G19</f>
        <v>1143657600</v>
      </c>
      <c r="K19" s="18">
        <f>D19*E19*H19</f>
        <v>428871600.00000006</v>
      </c>
      <c r="L19" s="6" t="s">
        <v>488</v>
      </c>
      <c r="M19" s="32">
        <v>1.5</v>
      </c>
      <c r="N19" s="32">
        <v>0.15</v>
      </c>
      <c r="O19" s="32">
        <v>9</v>
      </c>
      <c r="P19" s="33">
        <f>((I19/1000000)*M19+(J19/1000000)*N19+(K19/1000000)*O19)*$B$13</f>
        <v>9327.9573</v>
      </c>
    </row>
    <row r="20" spans="1:16" ht="28.5" customHeight="1">
      <c r="A20" s="34" t="s">
        <v>439</v>
      </c>
      <c r="B20" s="35"/>
      <c r="C20" s="36">
        <f>SUM(C16:C19)</f>
        <v>1</v>
      </c>
      <c r="D20" s="37">
        <f>SUM(D16:D19)</f>
        <v>476524</v>
      </c>
      <c r="E20" s="35"/>
      <c r="F20" s="35"/>
      <c r="G20" s="35"/>
      <c r="H20" s="35"/>
      <c r="I20" s="37">
        <f>SUM(I16:I19)</f>
        <v>11156618150</v>
      </c>
      <c r="J20" s="37">
        <f>SUM(J16:J19)</f>
        <v>6266290600</v>
      </c>
      <c r="K20" s="37">
        <f>SUM(K16:K19)</f>
        <v>2332584980</v>
      </c>
      <c r="L20" s="35"/>
      <c r="M20" s="35"/>
      <c r="N20" s="35"/>
      <c r="O20" s="35"/>
      <c r="P20" s="38">
        <f>SUM(P16:P19)</f>
        <v>17615.752056249999</v>
      </c>
    </row>
    <row r="21" spans="1:16">
      <c r="A21" s="1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7"/>
    </row>
    <row r="22" spans="1:16">
      <c r="A22" s="1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7"/>
    </row>
    <row r="23" spans="1:16" ht="40.5" customHeight="1">
      <c r="A23" s="22" t="s">
        <v>489</v>
      </c>
      <c r="B23" s="23" t="s">
        <v>490</v>
      </c>
      <c r="C23" s="23" t="s">
        <v>491</v>
      </c>
      <c r="D23" s="23" t="s">
        <v>492</v>
      </c>
      <c r="E23" s="23" t="s">
        <v>493</v>
      </c>
      <c r="F23" s="23" t="s">
        <v>494</v>
      </c>
      <c r="G23" s="23" t="s">
        <v>495</v>
      </c>
      <c r="H23" s="23" t="s">
        <v>323</v>
      </c>
      <c r="I23" s="6"/>
      <c r="J23" s="6"/>
      <c r="K23" s="6"/>
      <c r="L23" s="6"/>
      <c r="M23" s="6"/>
      <c r="N23" s="6"/>
      <c r="O23" s="6"/>
      <c r="P23" s="7"/>
    </row>
    <row r="24" spans="1:16" ht="40.5" customHeight="1">
      <c r="A24" s="14" t="s">
        <v>496</v>
      </c>
      <c r="B24" s="6" t="s">
        <v>497</v>
      </c>
      <c r="C24" s="6" t="s">
        <v>498</v>
      </c>
      <c r="D24" s="18">
        <v>36</v>
      </c>
      <c r="E24" s="25">
        <v>2200</v>
      </c>
      <c r="F24" s="18">
        <v>10</v>
      </c>
      <c r="G24" s="25">
        <f t="shared" ref="G24:G32" si="0">D24*E24*F24</f>
        <v>792000</v>
      </c>
      <c r="H24" s="6" t="s">
        <v>499</v>
      </c>
      <c r="I24" s="6"/>
      <c r="J24" s="6"/>
      <c r="K24" s="6"/>
      <c r="L24" s="6"/>
      <c r="M24" s="6"/>
      <c r="N24" s="6"/>
      <c r="O24" s="6"/>
      <c r="P24" s="7"/>
    </row>
    <row r="25" spans="1:16" ht="40.5" customHeight="1">
      <c r="A25" s="14" t="s">
        <v>500</v>
      </c>
      <c r="B25" s="6" t="s">
        <v>497</v>
      </c>
      <c r="C25" s="6" t="s">
        <v>501</v>
      </c>
      <c r="D25" s="18">
        <v>1</v>
      </c>
      <c r="E25" s="25">
        <v>9500</v>
      </c>
      <c r="F25" s="18">
        <v>12</v>
      </c>
      <c r="G25" s="25">
        <f t="shared" si="0"/>
        <v>114000</v>
      </c>
      <c r="H25" s="6" t="s">
        <v>502</v>
      </c>
      <c r="I25" s="6"/>
      <c r="J25" s="6"/>
      <c r="K25" s="6"/>
      <c r="L25" s="6"/>
      <c r="M25" s="6"/>
      <c r="N25" s="6"/>
      <c r="O25" s="6"/>
      <c r="P25" s="7"/>
    </row>
    <row r="26" spans="1:16" ht="40.5" customHeight="1">
      <c r="A26" s="14" t="s">
        <v>503</v>
      </c>
      <c r="B26" s="6" t="s">
        <v>504</v>
      </c>
      <c r="C26" s="6" t="s">
        <v>505</v>
      </c>
      <c r="D26" s="18">
        <v>1</v>
      </c>
      <c r="E26" s="25">
        <v>14500</v>
      </c>
      <c r="F26" s="18">
        <v>10</v>
      </c>
      <c r="G26" s="25">
        <f t="shared" si="0"/>
        <v>145000</v>
      </c>
      <c r="H26" s="6" t="s">
        <v>506</v>
      </c>
      <c r="I26" s="6"/>
      <c r="J26" s="6"/>
      <c r="K26" s="6"/>
      <c r="L26" s="6"/>
      <c r="M26" s="6"/>
      <c r="N26" s="6"/>
      <c r="O26" s="6"/>
      <c r="P26" s="7"/>
    </row>
    <row r="27" spans="1:16" ht="40.5" customHeight="1">
      <c r="A27" s="14" t="s">
        <v>507</v>
      </c>
      <c r="B27" s="6" t="s">
        <v>508</v>
      </c>
      <c r="C27" s="6" t="s">
        <v>509</v>
      </c>
      <c r="D27" s="18">
        <v>1</v>
      </c>
      <c r="E27" s="25">
        <v>10500</v>
      </c>
      <c r="F27" s="18">
        <v>12</v>
      </c>
      <c r="G27" s="25">
        <f t="shared" si="0"/>
        <v>126000</v>
      </c>
      <c r="H27" s="6" t="s">
        <v>510</v>
      </c>
      <c r="I27" s="6"/>
      <c r="J27" s="6"/>
      <c r="K27" s="6"/>
      <c r="L27" s="6"/>
      <c r="M27" s="6"/>
      <c r="N27" s="6"/>
      <c r="O27" s="6"/>
      <c r="P27" s="7"/>
    </row>
    <row r="28" spans="1:16" ht="40.5" customHeight="1">
      <c r="A28" s="14" t="s">
        <v>511</v>
      </c>
      <c r="B28" s="6" t="s">
        <v>512</v>
      </c>
      <c r="C28" s="6" t="s">
        <v>513</v>
      </c>
      <c r="D28" s="18">
        <v>1</v>
      </c>
      <c r="E28" s="25">
        <v>8500</v>
      </c>
      <c r="F28" s="18">
        <v>12</v>
      </c>
      <c r="G28" s="25">
        <f t="shared" si="0"/>
        <v>102000</v>
      </c>
      <c r="H28" s="6" t="s">
        <v>514</v>
      </c>
      <c r="I28" s="6"/>
      <c r="J28" s="6"/>
      <c r="K28" s="6"/>
      <c r="L28" s="6"/>
      <c r="M28" s="6"/>
      <c r="N28" s="6"/>
      <c r="O28" s="6"/>
      <c r="P28" s="7"/>
    </row>
    <row r="29" spans="1:16" ht="40.5" customHeight="1">
      <c r="A29" s="14" t="s">
        <v>515</v>
      </c>
      <c r="B29" s="6" t="s">
        <v>516</v>
      </c>
      <c r="C29" s="6" t="s">
        <v>517</v>
      </c>
      <c r="D29" s="18">
        <v>1</v>
      </c>
      <c r="E29" s="25">
        <v>9000</v>
      </c>
      <c r="F29" s="18">
        <v>9</v>
      </c>
      <c r="G29" s="25">
        <f t="shared" si="0"/>
        <v>81000</v>
      </c>
      <c r="H29" s="6" t="s">
        <v>518</v>
      </c>
      <c r="I29" s="6"/>
      <c r="J29" s="6"/>
      <c r="K29" s="6"/>
      <c r="L29" s="6"/>
      <c r="M29" s="6"/>
      <c r="N29" s="6"/>
      <c r="O29" s="6"/>
      <c r="P29" s="7"/>
    </row>
    <row r="30" spans="1:16" ht="40.5" customHeight="1">
      <c r="A30" s="14" t="s">
        <v>519</v>
      </c>
      <c r="B30" s="6" t="s">
        <v>520</v>
      </c>
      <c r="C30" s="6" t="s">
        <v>521</v>
      </c>
      <c r="D30" s="18">
        <v>3</v>
      </c>
      <c r="E30" s="25">
        <v>4800</v>
      </c>
      <c r="F30" s="18">
        <v>10</v>
      </c>
      <c r="G30" s="25">
        <f t="shared" si="0"/>
        <v>144000</v>
      </c>
      <c r="H30" s="6" t="s">
        <v>522</v>
      </c>
      <c r="I30" s="6"/>
      <c r="J30" s="6"/>
      <c r="K30" s="6"/>
      <c r="L30" s="6"/>
      <c r="M30" s="6"/>
      <c r="N30" s="6"/>
      <c r="O30" s="6"/>
      <c r="P30" s="7"/>
    </row>
    <row r="31" spans="1:16" ht="40.5" customHeight="1">
      <c r="A31" s="14" t="s">
        <v>523</v>
      </c>
      <c r="B31" s="6" t="s">
        <v>524</v>
      </c>
      <c r="C31" s="6" t="s">
        <v>525</v>
      </c>
      <c r="D31" s="18">
        <v>1</v>
      </c>
      <c r="E31" s="25">
        <v>3500</v>
      </c>
      <c r="F31" s="18">
        <v>12</v>
      </c>
      <c r="G31" s="25">
        <f t="shared" si="0"/>
        <v>42000</v>
      </c>
      <c r="H31" s="6" t="s">
        <v>526</v>
      </c>
      <c r="I31" s="6"/>
      <c r="J31" s="6"/>
      <c r="K31" s="6"/>
      <c r="L31" s="6"/>
      <c r="M31" s="6"/>
      <c r="N31" s="6"/>
      <c r="O31" s="6"/>
      <c r="P31" s="7"/>
    </row>
    <row r="32" spans="1:16" ht="40.5" customHeight="1">
      <c r="A32" s="14" t="s">
        <v>527</v>
      </c>
      <c r="B32" s="6" t="s">
        <v>528</v>
      </c>
      <c r="C32" s="6" t="s">
        <v>529</v>
      </c>
      <c r="D32" s="18">
        <v>1</v>
      </c>
      <c r="E32" s="25">
        <f>SUM(G24:G31)*12%</f>
        <v>185520</v>
      </c>
      <c r="F32" s="18">
        <v>1</v>
      </c>
      <c r="G32" s="25">
        <f t="shared" si="0"/>
        <v>185520</v>
      </c>
      <c r="H32" s="6" t="s">
        <v>530</v>
      </c>
      <c r="I32" s="6"/>
      <c r="J32" s="6"/>
      <c r="K32" s="6"/>
      <c r="L32" s="6"/>
      <c r="M32" s="6"/>
      <c r="N32" s="6"/>
      <c r="O32" s="6"/>
      <c r="P32" s="7"/>
    </row>
    <row r="33" spans="1:16" ht="40.5" customHeight="1">
      <c r="A33" s="34" t="s">
        <v>439</v>
      </c>
      <c r="B33" s="35"/>
      <c r="C33" s="35"/>
      <c r="D33" s="35"/>
      <c r="E33" s="35"/>
      <c r="F33" s="35"/>
      <c r="G33" s="39">
        <f>SUM(G24:G32)</f>
        <v>1731520</v>
      </c>
      <c r="H33" s="35" t="s">
        <v>531</v>
      </c>
      <c r="I33" s="6"/>
      <c r="J33" s="6"/>
      <c r="K33" s="6"/>
      <c r="L33" s="6"/>
      <c r="M33" s="6"/>
      <c r="N33" s="6"/>
      <c r="O33" s="6"/>
      <c r="P33" s="7"/>
    </row>
    <row r="34" spans="1:16">
      <c r="A34" s="1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7"/>
    </row>
    <row r="35" spans="1:16">
      <c r="A35" s="1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7"/>
    </row>
    <row r="36" spans="1:16">
      <c r="A36" s="1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7"/>
    </row>
    <row r="37" spans="1:16" ht="37.5" customHeight="1">
      <c r="A37" s="22" t="s">
        <v>532</v>
      </c>
      <c r="B37" s="23" t="s">
        <v>533</v>
      </c>
      <c r="C37" s="23" t="s">
        <v>534</v>
      </c>
      <c r="D37" s="23" t="s">
        <v>535</v>
      </c>
      <c r="E37" s="23" t="s">
        <v>536</v>
      </c>
      <c r="F37" s="23" t="s">
        <v>537</v>
      </c>
      <c r="G37" s="23" t="s">
        <v>538</v>
      </c>
      <c r="H37" s="23" t="s">
        <v>539</v>
      </c>
      <c r="I37" s="6"/>
      <c r="J37" s="6"/>
      <c r="K37" s="6"/>
      <c r="L37" s="6"/>
      <c r="M37" s="6"/>
      <c r="N37" s="6"/>
      <c r="O37" s="6"/>
      <c r="P37" s="7"/>
    </row>
    <row r="38" spans="1:16" ht="37.5" customHeight="1">
      <c r="A38" s="14" t="s">
        <v>540</v>
      </c>
      <c r="B38" s="30">
        <v>0.75</v>
      </c>
      <c r="C38" s="30">
        <v>0.7</v>
      </c>
      <c r="D38" s="25">
        <f>$B$9*B38</f>
        <v>13211.8140421875</v>
      </c>
      <c r="E38" s="25">
        <f>$B$10*C38</f>
        <v>1212064</v>
      </c>
      <c r="F38" s="25">
        <f>D38+E38</f>
        <v>1225275.8140421875</v>
      </c>
      <c r="G38" s="40">
        <f>F38/$B$5</f>
        <v>2.5712782861769554</v>
      </c>
      <c r="H38" s="6" t="s">
        <v>541</v>
      </c>
      <c r="I38" s="6"/>
      <c r="J38" s="6"/>
      <c r="K38" s="6"/>
      <c r="L38" s="6"/>
      <c r="M38" s="6"/>
      <c r="N38" s="6"/>
      <c r="O38" s="6"/>
      <c r="P38" s="7"/>
    </row>
    <row r="39" spans="1:16" ht="37.5" customHeight="1">
      <c r="A39" s="14" t="s">
        <v>542</v>
      </c>
      <c r="B39" s="30">
        <v>1</v>
      </c>
      <c r="C39" s="30">
        <v>1</v>
      </c>
      <c r="D39" s="25">
        <f>$B$9*B39</f>
        <v>17615.752056249999</v>
      </c>
      <c r="E39" s="25">
        <f>$B$10*C39</f>
        <v>1731520</v>
      </c>
      <c r="F39" s="25">
        <f>D39+E39</f>
        <v>1749135.7520562499</v>
      </c>
      <c r="G39" s="40">
        <f>F39/$B$5</f>
        <v>3.6706141811456505</v>
      </c>
      <c r="H39" s="6" t="s">
        <v>543</v>
      </c>
      <c r="I39" s="6"/>
      <c r="J39" s="6"/>
      <c r="K39" s="6"/>
      <c r="L39" s="6"/>
      <c r="M39" s="6"/>
      <c r="N39" s="6"/>
      <c r="O39" s="6"/>
      <c r="P39" s="7"/>
    </row>
    <row r="40" spans="1:16" ht="37.5" customHeight="1">
      <c r="A40" s="14" t="s">
        <v>544</v>
      </c>
      <c r="B40" s="30">
        <v>1.35</v>
      </c>
      <c r="C40" s="30">
        <v>1.35</v>
      </c>
      <c r="D40" s="25">
        <f>$B$9*B40</f>
        <v>23781.265275937501</v>
      </c>
      <c r="E40" s="25">
        <f>$B$10*C40</f>
        <v>2337552</v>
      </c>
      <c r="F40" s="25">
        <f>D40+E40</f>
        <v>2361333.2652759375</v>
      </c>
      <c r="G40" s="40">
        <f>F40/$B$5</f>
        <v>4.9553291445466279</v>
      </c>
      <c r="H40" s="6" t="s">
        <v>545</v>
      </c>
      <c r="I40" s="6"/>
      <c r="J40" s="6"/>
      <c r="K40" s="6"/>
      <c r="L40" s="6"/>
      <c r="M40" s="6"/>
      <c r="N40" s="6"/>
      <c r="O40" s="6"/>
      <c r="P40" s="7"/>
    </row>
    <row r="41" spans="1:16">
      <c r="A41" s="14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7"/>
    </row>
    <row r="42" spans="1:16">
      <c r="A42" s="14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7"/>
    </row>
    <row r="43" spans="1:16" ht="30" customHeight="1">
      <c r="A43" s="22" t="s">
        <v>546</v>
      </c>
      <c r="B43" s="23" t="s">
        <v>547</v>
      </c>
      <c r="C43" s="23" t="s">
        <v>548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7"/>
    </row>
    <row r="44" spans="1:16" ht="30" customHeight="1">
      <c r="A44" s="14" t="s">
        <v>549</v>
      </c>
      <c r="B44" s="6" t="s">
        <v>550</v>
      </c>
      <c r="C44" s="6" t="s">
        <v>551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7"/>
    </row>
    <row r="45" spans="1:16" ht="30" customHeight="1">
      <c r="A45" s="14" t="s">
        <v>552</v>
      </c>
      <c r="B45" s="6" t="s">
        <v>553</v>
      </c>
      <c r="C45" s="6" t="s">
        <v>554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7"/>
    </row>
    <row r="46" spans="1:16" ht="30" customHeight="1">
      <c r="A46" s="14" t="s">
        <v>555</v>
      </c>
      <c r="B46" s="6" t="s">
        <v>556</v>
      </c>
      <c r="C46" s="6" t="s">
        <v>557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7"/>
    </row>
    <row r="47" spans="1:16" ht="30" customHeight="1">
      <c r="A47" s="14" t="s">
        <v>558</v>
      </c>
      <c r="B47" s="6" t="s">
        <v>559</v>
      </c>
      <c r="C47" s="6" t="s">
        <v>560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7"/>
    </row>
    <row r="48" spans="1:16" ht="30" customHeight="1">
      <c r="A48" s="15" t="s">
        <v>561</v>
      </c>
      <c r="B48" s="8" t="s">
        <v>562</v>
      </c>
      <c r="C48" s="8" t="s">
        <v>563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9"/>
    </row>
  </sheetData>
  <mergeCells count="2">
    <mergeCell ref="A1:P1"/>
    <mergeCell ref="A2:P2"/>
  </mergeCells>
  <pageMargins left="0.7" right="0.7" top="0.75" bottom="0.75" header="0.3" footer="0.3"/>
  <headerFooter>
    <oddHeader>&amp;L&amp;"Aptos"&amp;10&amp;K008000 Classification: Internal&amp;1#_x000D_</oddHeader>
  </headerFooter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Skills</vt:lpstr>
      <vt:lpstr>Usecases+Agents+Skills</vt:lpstr>
      <vt:lpstr>Opportunity_70pct</vt:lpstr>
      <vt:lpstr>Waves_Sprints</vt:lpstr>
      <vt:lpstr>Tower_Plan</vt:lpstr>
      <vt:lpstr>Token_TCO_Model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Kuldeep Ashok</cp:lastModifiedBy>
  <dcterms:created xsi:type="dcterms:W3CDTF">2026-07-31T13:50:22Z</dcterms:created>
  <dcterms:modified xsi:type="dcterms:W3CDTF">2026-08-07T14:10:56Z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2026-07-31T13:49:15Z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f7362fb7-d50e-4649-90bb-ee3f21d78fbe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50, 3, 0, 1</vt:lpwstr>
  </property>
  <property fmtid="{D5CDD505-2E9C-101B-9397-08002B2CF9AE}" pid="10" name="TitusGUID">
    <vt:lpwstr>f592522d-89b3-4ee1-a634-89a16e009508</vt:lpwstr>
  </property>
  <property fmtid="{D5CDD505-2E9C-101B-9397-08002B2CF9AE}" pid="11" name="HCLClassD6">
    <vt:lpwstr>False</vt:lpwstr>
  </property>
  <property fmtid="{D5CDD505-2E9C-101B-9397-08002B2CF9AE}" pid="12" name="HCLClassification">
    <vt:lpwstr>HCL_Cla5s_C0nf1dent1al</vt:lpwstr>
  </property>
</Properties>
</file>