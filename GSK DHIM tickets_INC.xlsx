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hclo365-my.sharepoint.com/personal/kuldeepashok_hcltech_com/Documents/Hybrid Cloud/GSK/Large Deal - Tech services/Tech Services RFP - Infrastructure Management/Digital Marketing Internet Hosting/"/>
    </mc:Choice>
  </mc:AlternateContent>
  <xr:revisionPtr revIDLastSave="21" documentId="8_{AE10D707-D14A-455F-A78D-AB9FE2F3775D}" xr6:coauthVersionLast="47" xr6:coauthVersionMax="47" xr10:uidLastSave="{5C322101-9C4D-490B-A17F-3A9A668F4DBA}"/>
  <bookViews>
    <workbookView xWindow="-110" yWindow="-110" windowWidth="19420" windowHeight="11500" xr2:uid="{75F0B0B7-C6B8-4F37-AA49-EDA794652F59}"/>
  </bookViews>
  <sheets>
    <sheet name="incident - 2026-07-30T170504.31" sheetId="1" r:id="rId1"/>
    <sheet name="Group Nam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alcChain>
</file>

<file path=xl/sharedStrings.xml><?xml version="1.0" encoding="utf-8"?>
<sst xmlns="http://schemas.openxmlformats.org/spreadsheetml/2006/main" count="1920" uniqueCount="635">
  <si>
    <t>number</t>
  </si>
  <si>
    <t>state</t>
  </si>
  <si>
    <t>priority</t>
  </si>
  <si>
    <t>sys_created_on</t>
  </si>
  <si>
    <t>assignment_group</t>
  </si>
  <si>
    <t>assigned_to</t>
  </si>
  <si>
    <t>short_description</t>
  </si>
  <si>
    <t>sys_updated_on</t>
  </si>
  <si>
    <t>resolved_at</t>
  </si>
  <si>
    <t>resolved_by</t>
  </si>
  <si>
    <t>close_code</t>
  </si>
  <si>
    <t>close_notes</t>
  </si>
  <si>
    <t>closed_at</t>
  </si>
  <si>
    <t>INC5693439</t>
  </si>
  <si>
    <t>Closed</t>
  </si>
  <si>
    <t>4 - Low</t>
  </si>
  <si>
    <t>IHP-Cloud-Engineering-L2</t>
  </si>
  <si>
    <t>Ankit Ghenge</t>
  </si>
  <si>
    <t>Unable to access to SFTP and WinSCP software but I did not received any credentials to login into these software</t>
  </si>
  <si>
    <t>Rohith Singh Chandan</t>
  </si>
  <si>
    <t>Request Raised as Incident</t>
  </si>
  <si>
    <t>As it is candidate for request and not incident. we have Request RITM3116937 raised and login credentials for SFTP and OpenVPN has been shared to the user.  _x000D_
Further work notes will be tracked via request. _x000D_
Hence closing the incident.</t>
  </si>
  <si>
    <t>INC5693521</t>
  </si>
  <si>
    <t>3 - Moderate</t>
  </si>
  <si>
    <t>todosobreherpeszoster.com and understandingshingles.tt , weak HSTS.</t>
  </si>
  <si>
    <t>Required CSP headers already in place for the sites. informed the same to user and user confirmed on the incident closure</t>
  </si>
  <si>
    <t>INC5693813</t>
  </si>
  <si>
    <t xml:space="preserve">Cert Date Invalid for https://www.hkcms.gskapp.com/login.html </t>
  </si>
  <si>
    <t>Wrong configuration</t>
  </si>
  <si>
    <t>We identified that Internal DNS was pointed to LB (which has the expired cert)._x000D_
This has been updated now for all the GSKApp websites on tomcat. _x000D_
Got confirmation from the user that application is working as expected. Hence resolving the incident.</t>
  </si>
  <si>
    <t>INC5697167</t>
  </si>
  <si>
    <t>SFT New User - Incident for Diksha Goel</t>
  </si>
  <si>
    <t>Soundarya Patil</t>
  </si>
  <si>
    <t>Access Issue</t>
  </si>
  <si>
    <t>The user was unable to upload files due to insufficient permissions on the target folder (Design Centre). We had a call with the user and provisioned the required permissions. Once permission was granted, the user was able to upload the files successfully and confirmed closure of the request.</t>
  </si>
  <si>
    <t>INC5714135</t>
  </si>
  <si>
    <t>Database keep trying to connect to the application.</t>
  </si>
  <si>
    <t>Connectivity Issue</t>
  </si>
  <si>
    <t>We have shared the docker logs to user for further verification and fix from app end. _x000D_
User confirmed on incident closure.</t>
  </si>
  <si>
    <t>INC5714161</t>
  </si>
  <si>
    <t>IHP-AEM-Engineering-L2</t>
  </si>
  <si>
    <t>Navya Sri Devi Gummadi</t>
  </si>
  <si>
    <t>AEM CF65 - Pre-production is TROUBLE
Integration Name-ServiceNow Integration - cf65-pre
----------------------------------------
Di</t>
  </si>
  <si>
    <t>Solved Remotely (Permanently)</t>
  </si>
  <si>
    <t>Closed the task associated with alert: Alert5342891</t>
  </si>
  <si>
    <t>INC5714720</t>
  </si>
  <si>
    <t>Post Requests Being Blocked – Impacting Application Testing</t>
  </si>
  <si>
    <t xml:space="preserve">User was facing issue in Akamai, as the requests are being blocked, so have created an exception for the path /graphql. _x000D_
As confirmed by user, we are closing the request. </t>
  </si>
  <si>
    <t>INC5715966</t>
  </si>
  <si>
    <t>IHP-CI-CD-Engineering-L2</t>
  </si>
  <si>
    <t>Sanjay Kumar Saboo</t>
  </si>
  <si>
    <t>Jenkins is not responding</t>
  </si>
  <si>
    <t>Other not on list</t>
  </si>
  <si>
    <t>The issue was due to certificate expired</t>
  </si>
  <si>
    <t>INC5716774</t>
  </si>
  <si>
    <t>2 - High</t>
  </si>
  <si>
    <t>Amarnath Dixit</t>
  </si>
  <si>
    <t>Zephyr - Production is DOWN
Integration Name-ServiceNow Integration - zephyr-prd
----------------------------------------
Display N</t>
  </si>
  <si>
    <t>Guest</t>
  </si>
  <si>
    <t>Closed the task associated with alert: Alert5343313</t>
  </si>
  <si>
    <t>INC5716779</t>
  </si>
  <si>
    <t>AEM CF65 Author - Pre-Production is DOWN
Integration Name-ServiceNow Integration - cf65-author-pre
--------------------------------</t>
  </si>
  <si>
    <t>Closed the task associated with alert: Alert5343319</t>
  </si>
  <si>
    <t>INC5716784</t>
  </si>
  <si>
    <t>Avinash Kumar</t>
  </si>
  <si>
    <t>AEM CF65 Author - Production is DOWN
Integration Name-ServiceNow Integration - cf65-author-prd
------------------------------------</t>
  </si>
  <si>
    <t>Closed the task associated with alert: Alert5343332</t>
  </si>
  <si>
    <t>INC5716785</t>
  </si>
  <si>
    <t>Zephyr - Quality Assurance is DOWN
Integration Name-ServiceNow Integration - zephyr-qa
----------------------------------------
Dis</t>
  </si>
  <si>
    <t>Closed the task associated with alert: Alert5343334</t>
  </si>
  <si>
    <t>INC5724604</t>
  </si>
  <si>
    <t>Namilla Shruthika</t>
  </si>
  <si>
    <t>WAST scan - I would like to a raise a ticket to get WAST scan done</t>
  </si>
  <si>
    <t>Informed user about the link to raise a request for WAST.</t>
  </si>
  <si>
    <t>INC5725606</t>
  </si>
  <si>
    <t>Abhishek Ashok Tondihal</t>
  </si>
  <si>
    <t>I need to change the portal ownership to Google Cloud from GSK.</t>
  </si>
  <si>
    <t>Shivaprasad K L</t>
  </si>
  <si>
    <t>I will be closing this incident for now, as a meeting has been scheduled to discuss this issue on Wednesday, the 21st. The same has been communicated to the user. Following our discussion, if required, a service request will be raised for us to work on this matter.</t>
  </si>
  <si>
    <t>INC5728220</t>
  </si>
  <si>
    <t>Pavan Kalyan Jada</t>
  </si>
  <si>
    <t>Corp Umbraco Admin - Author is DOWN
Integration Name-ServiceNow Integration - corp-umbraco-author
---------------------------------</t>
  </si>
  <si>
    <t>Closed the task associated with alert: Alert5352957</t>
  </si>
  <si>
    <t>INC5741127</t>
  </si>
  <si>
    <t>Jenkins Boreas token issue</t>
  </si>
  <si>
    <t>Upgrade Issue</t>
  </si>
  <si>
    <t>The issue was due to Jenkins auto upgrade, due to which the token authentication has been changed. We need to create a new token as well as mount the secrets folder to restore it.</t>
  </si>
  <si>
    <t>INC5745664</t>
  </si>
  <si>
    <t>Pip issue onHealthchecks</t>
  </si>
  <si>
    <t>The issue was auto resolved</t>
  </si>
  <si>
    <t>INC5745688</t>
  </si>
  <si>
    <t>Access for AEM SRE Jenkins</t>
  </si>
  <si>
    <t>The user is now able to access the AEM SRE Jenkins</t>
  </si>
  <si>
    <t>INC5773193</t>
  </si>
  <si>
    <t>TENWAS-Cleartext Transmission of Sensitive Information detected on HK-Gskhkapp (P049432911)</t>
  </si>
  <si>
    <t>The required CSP headers are already in place for the site._x000D_
We have provided the details to the user and user confirmed on the incident closure.</t>
  </si>
  <si>
    <t>INC5776169</t>
  </si>
  <si>
    <t>Shwetha Babu</t>
  </si>
  <si>
    <t>WAST Medium findings persist in staging. Root cause identified as Apache server-level configuration</t>
  </si>
  <si>
    <t>Request REQ3070461 is raised</t>
  </si>
  <si>
    <t>INC5776337</t>
  </si>
  <si>
    <t>Issue on WOMENCARE:IT</t>
  </si>
  <si>
    <t>A new request is raised with respect to this - RITM3177483</t>
  </si>
  <si>
    <t>INC5777892</t>
  </si>
  <si>
    <t>HK APP Cookie Attribute Not Set</t>
  </si>
  <si>
    <t>The configuration and setting up of the cookies should be done from the application end._x000D_
We cannot define it from hosting configuration side._x000D_
We have informed the same to the user and got confirmation to close the incident.</t>
  </si>
  <si>
    <t>INC5778768</t>
  </si>
  <si>
    <t>Velpula Muni Kumar</t>
  </si>
  <si>
    <t>AEM tool issue</t>
  </si>
  <si>
    <t>Enhancement Issue</t>
  </si>
  <si>
    <t>Bulk replication caused the issue.</t>
  </si>
  <si>
    <t>INC5779394</t>
  </si>
  <si>
    <t>szczepienia Application paths getting blocked</t>
  </si>
  <si>
    <t>Surendra Samudrala</t>
  </si>
  <si>
    <t>Network Issue</t>
  </si>
  <si>
    <t xml:space="preserve">After unblocked from Akamai WAF, POST requests are now working on both links and user confirmed to close the request._x000D_
</t>
  </si>
  <si>
    <t>INC5779477</t>
  </si>
  <si>
    <t>api.gsk-on.com.br Application paths getting blocked</t>
  </si>
  <si>
    <t>Application links mentioned has been unblocked</t>
  </si>
  <si>
    <t>INC5798621</t>
  </si>
  <si>
    <t>Sahithi Gaddam</t>
  </si>
  <si>
    <t>Error accessing business critical website.</t>
  </si>
  <si>
    <t>we are not able to replicate this issue and there is no issues found from our end</t>
  </si>
  <si>
    <t>INC5806839</t>
  </si>
  <si>
    <t>Issue when publishing site through Github</t>
  </si>
  <si>
    <t>Performance Issue</t>
  </si>
  <si>
    <t>The jenkins repository URL was not updated with the deployed repo URL . this has been fixed .</t>
  </si>
  <si>
    <t>INC5816179</t>
  </si>
  <si>
    <t>Adobe Experience Manager: I need access to the server links mentioned here</t>
  </si>
  <si>
    <t>Ticket is already in the queue "RITM3202474/SCTASK3583136", I had talk with requester  we are good to close incident.</t>
  </si>
  <si>
    <t>INC5816910</t>
  </si>
  <si>
    <t>Vinay Bommena</t>
  </si>
  <si>
    <t>AEM Component Missing on Published Preprod Page [Shingrix-com-v3]</t>
  </si>
  <si>
    <t>Mapping issue fixed</t>
  </si>
  <si>
    <t>INC5824999</t>
  </si>
  <si>
    <t>Karthik P</t>
  </si>
  <si>
    <t>Jenkin issue In zephyr QA environment</t>
  </si>
  <si>
    <t>User Education and Training</t>
  </si>
  <si>
    <t>Caller was trying to deploy same version which already exists. Asked her to update version and deploy._x000D_
I can see caller tried deployment with v4.25.0-SNAPSHOT and it is successfully deployed in Nexus as per Jenkins logs URL https://prod-jenkins.gskinternet.com/jenkins-zephyr/job/aem-zephyr/job/release-2026-02-13/1/console</t>
  </si>
  <si>
    <t>INC5829820</t>
  </si>
  <si>
    <t>Amisha Azees</t>
  </si>
  <si>
    <t>Closed the task associated with alert: Alert5466383</t>
  </si>
  <si>
    <t>INC5833820</t>
  </si>
  <si>
    <t xml:space="preserve">Require urgent support to host a web application across GSK Intranet. _x000D_
we need to enable access to a particular application hosted in our windows server in a way it can be used by multiple users using the provided URL. _x000D_
</t>
  </si>
  <si>
    <t>request  raised as incident</t>
  </si>
  <si>
    <t>INC5837858</t>
  </si>
  <si>
    <t>Gnanendra Muthi Reddy</t>
  </si>
  <si>
    <t>Unable to deploy to Staging environment</t>
  </si>
  <si>
    <t>The deployment to staging is failing because the container images contain 39 detected vulnerabilities, which is preventing attestation as per security policies. Since valid attestation is required for deployment, these images cannot be deployed at this time. Remediation of these vulnerabilities is the responsibility of the application team; therefore, we are closing the ticket from our side.</t>
  </si>
  <si>
    <t>INC5838647</t>
  </si>
  <si>
    <t>Lakshmi Kavya Putta</t>
  </si>
  <si>
    <t>Apache Static - Staging is TROUBLE
Integration Name-ServiceNow Integration - apache-stg
----------------------------------------
Di</t>
  </si>
  <si>
    <t>Closed the task associated with alert: Alert5486397</t>
  </si>
  <si>
    <t>INC5843773</t>
  </si>
  <si>
    <t>Closed the task associated with alert: Alert5490790</t>
  </si>
  <si>
    <t>INC5853060</t>
  </si>
  <si>
    <t>Login Unavaliable - Access Denied</t>
  </si>
  <si>
    <t>Akamai side changes fixed the issue for the site ( gsk-on.com.br) , the issue got resolved.</t>
  </si>
  <si>
    <t>INC5853090</t>
  </si>
  <si>
    <t>Name or service not known</t>
  </si>
  <si>
    <t>Connected with requestor and informed that the mentioned URL can't connect from Zephyr Dev instance because the provided domain is hosted outside GSK.</t>
  </si>
  <si>
    <t>INC5867624</t>
  </si>
  <si>
    <t>Closed the task associated with alert: Alert5526224</t>
  </si>
  <si>
    <t>INC5873995</t>
  </si>
  <si>
    <t>Youtube iframe not working on livpositiv.dk</t>
  </si>
  <si>
    <t>The headers update needs to be done for the video to be available in the page due to CORS policy</t>
  </si>
  <si>
    <t>INC5874763</t>
  </si>
  <si>
    <t>AEM CF65 - Production is TROUBLE
Integration Name-ServiceNow Integration - cf65-prd
----------------------------------------
Displa</t>
  </si>
  <si>
    <t>Closed the task associated with alert: Alert5531684</t>
  </si>
  <si>
    <t>INC5880286</t>
  </si>
  <si>
    <t>Site URLs: (Home page Only is needed)
https://rsvandme-v5-com.preprod-cf65.gskinternet.com</t>
  </si>
  <si>
    <t>A request raised on behalf of the user - RITM3247649 and we are working on it!</t>
  </si>
  <si>
    <t>INC5886522</t>
  </si>
  <si>
    <t>Ruba Murugesan</t>
  </si>
  <si>
    <t>Apache PHP - Production is TROUBLE
Integration Name-ServiceNow Integration - php-prd
----------------------------------------
Displ</t>
  </si>
  <si>
    <t>Closed the task associated with alert: Alert5549599</t>
  </si>
  <si>
    <t>INC5890068</t>
  </si>
  <si>
    <t>User raised an incident to update the headers. Hence, RITM3247510 has been created.</t>
  </si>
  <si>
    <t>INC5896096</t>
  </si>
  <si>
    <t>your connection is not private error NET::ERR_CERT_COMMON_NAME_INVALID</t>
  </si>
  <si>
    <t>Some users were encountering the error of cert related issue while trying to access gskon.com.br, experienced this issue earlier as well, but it has since stopped for me. However, some users within GSK are still facing the problem._x000D_
_x000D_
as per our observations, the issue appears to be affecting only GSK computers. When accessing the site from a mobile device, the error did not occur. and confirmed that the issue is not affecting anymore.</t>
  </si>
  <si>
    <t>INC5902331</t>
  </si>
  <si>
    <t>REG: Support Needed – MSDSOnlineExternal Release Failure (SSH Handshake Timeout)</t>
  </si>
  <si>
    <t>User confirmed the issue has been resolved after adding a new service connection in the Azure DevOps pipeline and deploying the release. The deployment is now working fine.</t>
  </si>
  <si>
    <t>INC5913704</t>
  </si>
  <si>
    <t>Test</t>
  </si>
  <si>
    <t>False Alarm</t>
  </si>
  <si>
    <t>It is a testing INC which team is currently working internally.</t>
  </si>
  <si>
    <t>INC5920080</t>
  </si>
  <si>
    <t>AEM - facing issue on AEM for dropdown values in event data</t>
  </si>
  <si>
    <t>User Resolved</t>
  </si>
  <si>
    <t>User confirmed that the issue is already fixed and confirmed for ticket closure.</t>
  </si>
  <si>
    <t>INC5921678</t>
  </si>
  <si>
    <t>test ticket, please close</t>
  </si>
  <si>
    <t>It is a testing INC which team is currently working on.</t>
  </si>
  <si>
    <t>INC5921680</t>
  </si>
  <si>
    <t>INC5921818</t>
  </si>
  <si>
    <t>SFTP account issue</t>
  </si>
  <si>
    <t xml:space="preserve"> the account Oaz59289 was in an enabled state. As requested, the login credentials have been shared with the mentioned users via separate emails._x000D_
</t>
  </si>
  <si>
    <t>INC5922568</t>
  </si>
  <si>
    <t>the APIs were blocked by Akamai and exception has been raised . Currently upload is working fine. Confirmed by user hence closing the incident</t>
  </si>
  <si>
    <t>INC5923631</t>
  </si>
  <si>
    <t>OpenVPN connects disconnects</t>
  </si>
  <si>
    <t>password reset done and credentials shared with user. user not able to access OpenVPN without any issues. user confirmed to close the incident so closing the incident</t>
  </si>
  <si>
    <t>INC5926720</t>
  </si>
  <si>
    <t>Algeria site is not showing up as expected</t>
  </si>
  <si>
    <t>The Exit Notification page existed in Author but not in Publishers, which caused the issue. We told the user to publish the page, and the problem was resolved.</t>
  </si>
  <si>
    <t>INC5939335</t>
  </si>
  <si>
    <t>Reset my password for SFTP: sftp.gskinternet.com</t>
  </si>
  <si>
    <t>user raised request RITM3276382 for the same and confirmed on the incident closure so closing the incident.</t>
  </si>
  <si>
    <t>INC5941242</t>
  </si>
  <si>
    <t>Issue on endpoint gskon</t>
  </si>
  <si>
    <t>The websocket was not included for the application and it has been handled in Akamai</t>
  </si>
  <si>
    <t>INC5942299</t>
  </si>
  <si>
    <t>Rithisha Dommata</t>
  </si>
  <si>
    <t>All/Multiple GSKpro website throwing Access Denied Error</t>
  </si>
  <si>
    <t>There is an issue with Tealium configs and Akamai WAF. the configuration has been updated.</t>
  </si>
  <si>
    <t>INC5942457</t>
  </si>
  <si>
    <t>Access denied on GSKPro Websites</t>
  </si>
  <si>
    <t xml:space="preserve">There is an issue with Tealium cofigs and Akamai WAF. the configuration is being updated. </t>
  </si>
  <si>
    <t>INC5942560</t>
  </si>
  <si>
    <t>Access denied issue on Preview and live medical and Preview</t>
  </si>
  <si>
    <t xml:space="preserve">There is an issue with Tealium configs and Akamai WAF. the configuration is being updated. </t>
  </si>
  <si>
    <t>INC5943604</t>
  </si>
  <si>
    <t>Users unable to log on GSKPRO AU</t>
  </si>
  <si>
    <t>INC5947404</t>
  </si>
  <si>
    <t>file still opens in CDN - DK Assets, even if deleted</t>
  </si>
  <si>
    <t>Cache Invalidation done to fix the issue</t>
  </si>
  <si>
    <t>INC5949112</t>
  </si>
  <si>
    <t>API blocked for HKCMS App Staging</t>
  </si>
  <si>
    <t>Issue Statement_x000D_
• API uploads from the HKCMS App Staging environment are being blocked by Akamai/firewall rules, preventing several CMS-related paths (import/upload/image/sales/productStock/invoice/backorder/news/hcp upload endpoints) from functioning as expected; user requested whitelisting of specific API paths._x000D_
• The blockage appears to be caused by Akamai security/edge protections blocking requests to multiple site paths for the staging and production hostnames, requiring exceptions to be added for the listed endpoints._x000D_
_x000D_
Resolution Summary_x000D_
• Paths and API endpoints reported by the user were consolidated and shared with the Akamai/edge team for whitelisting; exceptions were requested for the specified site paths and the whitelist was applied for staging, with validation requested from the user and production exceptions to be applied once confirmed.</t>
  </si>
  <si>
    <t>INC5950200</t>
  </si>
  <si>
    <t xml:space="preserve"> raise a request to IHP-Cloud-Engineering-L2</t>
  </si>
  <si>
    <t>Abinaya Ravikumar</t>
  </si>
  <si>
    <t>WAF exceptions were added and user confirmed it is working. hence closing the ticket.</t>
  </si>
  <si>
    <t>INC5954897</t>
  </si>
  <si>
    <t>Akash Agrawal</t>
  </si>
  <si>
    <t>Startup Script Execution Failure During Server Recreation on IIS Prod and Stage Server.</t>
  </si>
  <si>
    <t>We have manually executed the startup script again by restarting the server in prod and non prod. Post restart, startup script has been executed successfully in both the servers.</t>
  </si>
  <si>
    <t>INC5960590</t>
  </si>
  <si>
    <t>Unika Benson</t>
  </si>
  <si>
    <t>Hi team,_x000D_
Could you please reset my GCPIH password as it got expired._x000D_
Username: GCPIH\nm728050</t>
  </si>
  <si>
    <t>Alok Ranjan</t>
  </si>
  <si>
    <t>Password has been reset and shared it through encrypted mail. Hence closing from our end.</t>
  </si>
  <si>
    <t>INC5965414</t>
  </si>
  <si>
    <t>Environmental Issue</t>
  </si>
  <si>
    <t>Reason : We have received a DDoS attempt on AEM sites, this is reason for sites down .</t>
  </si>
  <si>
    <t>INC5965417</t>
  </si>
  <si>
    <t>INC5965418</t>
  </si>
  <si>
    <t>INC5965419</t>
  </si>
  <si>
    <t>INC5965421</t>
  </si>
  <si>
    <t>INC5982092</t>
  </si>
  <si>
    <t>AEM latency issue on GSKPRO and Medical</t>
  </si>
  <si>
    <t>issue is fixed, we are not able to reproduce this issue.</t>
  </si>
  <si>
    <t>INC5986224</t>
  </si>
  <si>
    <t>Viver Mais URL - Block</t>
  </si>
  <si>
    <t>The requests were getting blocked for the end users and we observed that the site request on the defined path had been blocked by Akamai._x000D_
_x000D_
Full URL - https://www.vivermaisgsk.com.br/cms/Url.aspx_x000D_
Prod - vivermaisgsk.com.br_x000D_
Path – "/cms/Url.aspx"_x000D_
_x000D_
Exception has been added now for the path and informed user for validation. Everything looks good and confirmed for closure!!</t>
  </si>
  <si>
    <t>INC5988484</t>
  </si>
  <si>
    <t xml:space="preserve"> We have received a DDoS attempt on AEM sites, this is reason for sites down .</t>
  </si>
  <si>
    <t>INC5988485</t>
  </si>
  <si>
    <t>AEM CF65 - Production is DOWN
Integration Name-ServiceNow Integration - cf65-prd
----------------------------------------
Display N</t>
  </si>
  <si>
    <t>Closed the task associated with alert: Alert5753604</t>
  </si>
  <si>
    <t>INC6002878</t>
  </si>
  <si>
    <t>Whitelabel Error Page for HKAPP</t>
  </si>
  <si>
    <t>post WAR file deployment the application started working fine</t>
  </si>
  <si>
    <t>INC6005103</t>
  </si>
  <si>
    <t>Modern Deeplinks not working after implementing tokens</t>
  </si>
  <si>
    <t>Akamai was blocking the request. Exception has been added and user provided confirmation to close.</t>
  </si>
  <si>
    <t>INC6005502</t>
  </si>
  <si>
    <t>Issue with https://gskkompendium.cz when uploading (POST) PDF</t>
  </si>
  <si>
    <t>The domain was not included for WAF rules. This has been fixed now.</t>
  </si>
  <si>
    <t>INC6005726</t>
  </si>
  <si>
    <t>GSK employee cannot enter GSKpro.com Website</t>
  </si>
  <si>
    <t>INC6009084</t>
  </si>
  <si>
    <t>There was a high traffic of requests. All the sites are up and running.</t>
  </si>
  <si>
    <t>INC6012164</t>
  </si>
  <si>
    <t>On AEM pages of Germany LOC I am unable to edit anything</t>
  </si>
  <si>
    <t>This request is not qualified as an incident. We have checked the issue from access perspective, but user can see the edit option after reloading the page. Informed user to raise a service request.</t>
  </si>
  <si>
    <t>INC6014499</t>
  </si>
  <si>
    <t>GSKPro-Unable to access-Error attached</t>
  </si>
  <si>
    <t>INC6017756</t>
  </si>
  <si>
    <t xml:space="preserve">RITM3303708 -follow up - We need to escalate this to the highest level of escalation
</t>
  </si>
  <si>
    <t>site domain has been parked and further decommissioning will be taken care under request RITM3303708. user validated the site and confirmed on the incident closure</t>
  </si>
  <si>
    <t>INC6018135</t>
  </si>
  <si>
    <t>Resolved automatically without any actions taken.</t>
  </si>
  <si>
    <t>INC6018292</t>
  </si>
  <si>
    <t>ticket to this group IHP-Cloud-Engineering-L2 for GCP access</t>
  </si>
  <si>
    <t>User guided to raise the sailpoint request for access</t>
  </si>
  <si>
    <t>INC6018475</t>
  </si>
  <si>
    <t>Getting DB connection error</t>
  </si>
  <si>
    <t>Since there are no pending actions from the Hosting Team side. user confirmed on closure of ticket.  1. Login URL Error_x000D_
The URL c2c.chat.gsk.com/settings/Login.aspx is returning a database connection error._x000D_
Traffic is successfully reaching the dedicated IIS server, and responses are being generated from the application layer._x000D_
This indicates the issue is application-side, not network or Akamai-related._x000D_
Action:_x000D_
Pending with the Application Team to review code and identify conditions triggering the custom error page._x000D_
_x000D_
2. Akamai Onboarding Discussion_x000D_
It has been confirmed that c2c.chat.gsk.com is actively in use and intended for internal access only._x000D_
Therefore, Akamai onboarding is not required for this application._x000D_
The SSL certificate is currently being served directly from the IIS application server._x000D_
Since this is an internal site, certificate management falls under the Application Team._x000D_
Action:_x000D_
Application Team to: Provision a new certificate and bind it to the c2cchat site on the IIS server_x000D_
_x000D_
3. Staging URL Issue_x000D_
Reported issue with:_x000D_
staging.chat.gsk.com/newchat/chat.aspx?domain=cshd.gsk.com_x000D_
No blocking issues identified from the Akamai side._x000D_
Analysis shows:_x000D_
WebSocket connections are reaching the IIS server_x000D_
However, the application is not responding within the expected time_x000D_
This results in timeout and connection closure_x000D_
Action:_x000D_
Application Team is investigating the backend performance / response delay causing the WebSocket timeout.</t>
  </si>
  <si>
    <t>INC6018600</t>
  </si>
  <si>
    <t>Closed the task associated with alert: Alert5893625</t>
  </si>
  <si>
    <t>INC6018941</t>
  </si>
  <si>
    <t>All Markets - GSKpro Website is Down</t>
  </si>
  <si>
    <t>Two publishers out of 3 were restarted to get the sites back to normal state</t>
  </si>
  <si>
    <t>INC6018948</t>
  </si>
  <si>
    <t>GSKpro Server is down across Area NW and SC (EU2)</t>
  </si>
  <si>
    <t>Two publishers out of 3 were restarted to resume back to normal state</t>
  </si>
  <si>
    <t>INC6018952</t>
  </si>
  <si>
    <t>Issue in redirect for BANDI.WOMENCARE.IT</t>
  </si>
  <si>
    <t>The paths has been added to Akamai for exceptions and it is working fine as informed by the user.</t>
  </si>
  <si>
    <t>INC6018955</t>
  </si>
  <si>
    <t>GSKpro NL and Fr and Medical affairs Belgium down</t>
  </si>
  <si>
    <t>Two publishers out of 3 were restarted to get the sites back to normal state.</t>
  </si>
  <si>
    <t>INC6019014</t>
  </si>
  <si>
    <t xml:space="preserve">GSKpro live site is not working </t>
  </si>
  <si>
    <t>INC6019034</t>
  </si>
  <si>
    <t>AEM CF65 - Production is Down</t>
  </si>
  <si>
    <t>Two publishers out of 3 were restarted to bring the sites to normal state</t>
  </si>
  <si>
    <t>INC6019106</t>
  </si>
  <si>
    <t>Websites shown as under maintenance</t>
  </si>
  <si>
    <t>INC6019108</t>
  </si>
  <si>
    <t>GSKPRO - GSKPro.dk is not or very slow responding, sometimes it gives "site under maintenance"nk</t>
  </si>
  <si>
    <t>INC6019731</t>
  </si>
  <si>
    <t>AEM - performance issue on Adobe Experience Manager (AEM) - taking long time to make any changes on any component</t>
  </si>
  <si>
    <t>Checked with user. User confirmed that issue is resolved.</t>
  </si>
  <si>
    <t>INC6024506</t>
  </si>
  <si>
    <t>peersinpractice-gsk-com.staging site is down-Error attached</t>
  </si>
  <si>
    <t>User is able to access the links now, issue was resolved on it's own.</t>
  </si>
  <si>
    <t>INC6031510</t>
  </si>
  <si>
    <t>All sites are up and running fine</t>
  </si>
  <si>
    <t>INC6032355</t>
  </si>
  <si>
    <t>Apache Tomcat - Production is TROUBLE
Integration Name-ServiceNow Integration - tomcat-prd
----------------------------------------</t>
  </si>
  <si>
    <t>Closed the task associated with alert: Alert5970826</t>
  </si>
  <si>
    <t>INC6033666</t>
  </si>
  <si>
    <t>Physician cannot access to each Medical Affairs Portal</t>
  </si>
  <si>
    <t xml:space="preserve">As the issue is related to CUG configurations, reached out to Jeetender Sharma and team. Issue is resolved and user confirmed ticket closure. </t>
  </si>
  <si>
    <t>INC6037511</t>
  </si>
  <si>
    <t>Closed the task associated with alert: Alert5985659</t>
  </si>
  <si>
    <t>INC6055688</t>
  </si>
  <si>
    <t>Maria Jayabal</t>
  </si>
  <si>
    <t>AEM CF65 - Pre-production is DOWN
Integration Name-ServiceNow Integration - cf65-pre
----------------------------------------
Displ</t>
  </si>
  <si>
    <t>Resolved automatically. Environment is now up and running.</t>
  </si>
  <si>
    <t>INC6063995</t>
  </si>
  <si>
    <t>Closed the task associated with alert: Alert6117812</t>
  </si>
  <si>
    <t>INC6064042</t>
  </si>
  <si>
    <t xml:space="preserve"> AEM is not working. "Site is Under Maintenance"</t>
  </si>
  <si>
    <t>Issue was resolved on its own, no changes needed.</t>
  </si>
  <si>
    <t>INC6064096</t>
  </si>
  <si>
    <t>Closed the task associated with alert: Alert6118311</t>
  </si>
  <si>
    <t>INC6064120</t>
  </si>
  <si>
    <t>AEM is down</t>
  </si>
  <si>
    <t>INC6064128</t>
  </si>
  <si>
    <t>AEM Production enviroment not working.</t>
  </si>
  <si>
    <t>Issue was fixed by restarting the AEM service</t>
  </si>
  <si>
    <t>INC6068631</t>
  </si>
  <si>
    <t>Issue with https://www.gsk-kompendium.at when uploading (POST) PDF</t>
  </si>
  <si>
    <t>When user uploaded PDF there was a error PDF was corrected then started working hence closing the ticket</t>
  </si>
  <si>
    <t>INC6071122</t>
  </si>
  <si>
    <t>SFTP is not working</t>
  </si>
  <si>
    <t>there was no issue and user tried once again and started working fine</t>
  </si>
  <si>
    <t>INC6073342</t>
  </si>
  <si>
    <t>Error in authouring Full width Image-Text component</t>
  </si>
  <si>
    <t>Akamai team whitelisted the URL's and the user was able to save the component.</t>
  </si>
  <si>
    <t>INC6080123</t>
  </si>
  <si>
    <t>The sites are up and running now on its own</t>
  </si>
  <si>
    <t>INC6080124</t>
  </si>
  <si>
    <t>Closed the task associated with alert: Alert6318896</t>
  </si>
  <si>
    <t>INC6080369</t>
  </si>
  <si>
    <t>Closed the task associated with alert: Alert6327696</t>
  </si>
  <si>
    <t>INC6080370</t>
  </si>
  <si>
    <t>AEM CF65 - Production Preview is DOWN
Integration Name-ServiceNow Integration - cf65-prd-preview
----------------------------------</t>
  </si>
  <si>
    <t xml:space="preserve">Outage occurred due to patching activity for prod and it is resolved </t>
  </si>
  <si>
    <t>INC6080372</t>
  </si>
  <si>
    <t>Closed the task associated with alert: Alert6327748</t>
  </si>
  <si>
    <t>INC6083145</t>
  </si>
  <si>
    <t>create update button is not working and provider is also not loading</t>
  </si>
  <si>
    <t>Component worked when author was restarted</t>
  </si>
  <si>
    <t>INC6083149</t>
  </si>
  <si>
    <t>Create update is not not working for Greece LOC</t>
  </si>
  <si>
    <t>INC6087150</t>
  </si>
  <si>
    <t>AEM - I am facing the issue with the access on - error attached</t>
  </si>
  <si>
    <t>Team is carrying out application security testing and all their requests originate from their single external IP, which is also blocking the actual user traffic. Issue was resolved on its own</t>
  </si>
  <si>
    <t>INC6089090</t>
  </si>
  <si>
    <t>Akamai Blockage observed in application tiemngua.com</t>
  </si>
  <si>
    <t>Akami exceptions has been handled and user reported as working fine hence closing the incident</t>
  </si>
  <si>
    <t>INC6105349</t>
  </si>
  <si>
    <t>cache issue</t>
  </si>
  <si>
    <t>The change was visible after cache invalidation from akamai</t>
  </si>
  <si>
    <t>INC6107907</t>
  </si>
  <si>
    <t>Video not getting removed: Cache</t>
  </si>
  <si>
    <t xml:space="preserve">Cache cleared for the video path and video is not loading now. user validated the request and confirmed on the request closure. </t>
  </si>
  <si>
    <t>INC6113805</t>
  </si>
  <si>
    <t>Unable to login to the server: 10.90.248.62.</t>
  </si>
  <si>
    <t>Server was started and user reported as working fine</t>
  </si>
  <si>
    <t>INC6120025</t>
  </si>
  <si>
    <t>AEM is down. Content layout is distorted</t>
  </si>
  <si>
    <t>Issue is resolved itself. No action has been taken</t>
  </si>
  <si>
    <t>INC6131741</t>
  </si>
  <si>
    <t xml:space="preserve"> Issues with video upload to server - sftp.gskinternet.com</t>
  </si>
  <si>
    <t>User confirmed the issue has been resolved automatically and able to upload the file on SFTP path. user confirmed on the incident closure.</t>
  </si>
  <si>
    <t>INC6138975</t>
  </si>
  <si>
    <t>AEM working very slow</t>
  </si>
  <si>
    <t>User confirmed validated and confirmed that it working as expected now. Resolved without any action</t>
  </si>
  <si>
    <t>INC6140007</t>
  </si>
  <si>
    <t>AEM production author is down</t>
  </si>
  <si>
    <t>The issue occurred as the prod author is down. The links are opening as expected once the instance is up</t>
  </si>
  <si>
    <t>INC6142661</t>
  </si>
  <si>
    <t>Unable to push live atomcampus assets</t>
  </si>
  <si>
    <t>Correct access was provided, user confirmed it's working fine now. Closing the INC.</t>
  </si>
  <si>
    <t>INC6144088</t>
  </si>
  <si>
    <t>Akamai Blocking Content Fragment Save issue</t>
  </si>
  <si>
    <t>Exceptions added by Akamai team and issue got resolved</t>
  </si>
  <si>
    <t>INC6150196</t>
  </si>
  <si>
    <t>Tania Jha</t>
  </si>
  <si>
    <t>Automatic resolved</t>
  </si>
  <si>
    <t>INC6151438</t>
  </si>
  <si>
    <t xml:space="preserve">GSKpro AEM and Preview is not working </t>
  </si>
  <si>
    <t>Issue is resolved after the page was renamed. Screenshot attached.</t>
  </si>
  <si>
    <t>INC6153897</t>
  </si>
  <si>
    <t>Unable to upload images</t>
  </si>
  <si>
    <t>The paths which were giving 403 error has been added to exceptions</t>
  </si>
  <si>
    <t>INC6158010</t>
  </si>
  <si>
    <t>Zero visits reported in GSK website</t>
  </si>
  <si>
    <t>Duplicate Ticket</t>
  </si>
  <si>
    <t>We are tracking this issue on another INC INC6161215, user confirmed to close this INC.</t>
  </si>
  <si>
    <t>INC6161215</t>
  </si>
  <si>
    <t>There is no data from the portals (Adobe Analytics) for May 6-9.</t>
  </si>
  <si>
    <t xml:space="preserve">This issue was caused because of migrating one of the Tealium Adobe connector from 1.4 to 2.0 and there has been this issue for few of the markets from 6th May to 10th May. Tealium team member Anutha Atmakuru confirmed that they are trying to retrieve the data back. </t>
  </si>
  <si>
    <t>INC6162602</t>
  </si>
  <si>
    <t xml:space="preserve">AEM Slowness </t>
  </si>
  <si>
    <t>Issue Statement_x000D_
• Naresh Narvekar reported slowness and workflow delays impacting GSKPRO and Medical while accessing the AEM authoring URL; he asked to be notified when resolved._x000D_
• The issue appears related to application performance affecting workflow responsiveness within the AEM authoring environment._x000D_
_x000D_
Resolution Summary_x000D_
• connected with Naresh on call he  will create ticket to AEM team instead of incident.</t>
  </si>
  <si>
    <t>INC6172094</t>
  </si>
  <si>
    <t>gsk-kompendium.at Akami issues</t>
  </si>
  <si>
    <t xml:space="preserve">exceptions has been handled and user reported as working fine_x000D_
</t>
  </si>
  <si>
    <t>INC6173961</t>
  </si>
  <si>
    <t xml:space="preserve">Group of alerts, AEM CF65 - Production is DOWN
Integration Name-ServiceNow Integration - cf65-prd
----------------------------------------
Display Name : AEM CF65 - Production 
Monitor Groups : AEM CF65 - Production 
Tags : prd:prd, cf65:AEM CF65
\nMonitor Type : HEALTHCHECK 
Monitor status : Down 
Down since : May 17, 2026, 7:53 GMT 
Reason : Down exceeds 25 %Monitor count based threshold has been changed. 
Dashboard link : https://www.site24x7.com/app/client#/home/monitors/523821000000192079/Summary 
</t>
  </si>
  <si>
    <t xml:space="preserve">currently the sites are up , alerts sties (24 x 7 ) triggered this incident </t>
  </si>
  <si>
    <t>INC6173967</t>
  </si>
  <si>
    <t xml:space="preserve">Group of alerts, AEM CF65 - Production is TROUBLE
Integration Name-ServiceNow Integration - cf65-prd
----------------------------------------
Display Name : AEM CF65 - Production 
Monitor Groups : AEM CF65 - Production 
Tags : prd:prd, cf65:AEM CF65
\nMonitor Type : HEALTHCHECK 
Monitor status : Trouble 
Trouble since : May 10, 2026, 7:57 GMT 
Reason : Down exceeds 10 % 
Dashboard link : https://www.site24x7.com/app/client#/home/monitors/523821000000192079/Summary 
</t>
  </si>
  <si>
    <t>INC6173971</t>
  </si>
  <si>
    <t xml:space="preserve">Group of alerts, Corp Umbraco Admin - Author is DOWN
Integration Name-ServiceNow Integration - corp-umbraco-author
----------------------------------------
Display Name : Corp Umbraco Admin - Author 
Monitor Groups : Corp Umbraco Admin - Author 
Tags : author:author, corp-umbraco-admin:Corp Umbraco Admin
\nMonitor Type : HEALTHCHECK 
Monitor status : Down 
Down since : May 15, 2026, 11:34 GMT 
Reason : Down exceeds 25 %Monitor count based threshold has been changed. 
Dashboard link : https://www.site24x7.com/app/client#/home/monitors/523821000006285005/Summary 
</t>
  </si>
  <si>
    <t xml:space="preserve">Alert got resolved and message received in alerts as CPU utilization resolved </t>
  </si>
  <si>
    <t>INC6178468</t>
  </si>
  <si>
    <t>Site Viver Mais is not working correctly</t>
  </si>
  <si>
    <t>paths are added to exception and user confirmed working fine</t>
  </si>
  <si>
    <t>INC6182661</t>
  </si>
  <si>
    <t>Same incident as INC6178468 to www.casapsp.com.br</t>
  </si>
  <si>
    <t>Akamai exceptions were added and user confirmed that everything working. Attached mail confirmation.</t>
  </si>
  <si>
    <t>INC6186141</t>
  </si>
  <si>
    <t>gskkompendium.cz WAF rules modification</t>
  </si>
  <si>
    <t>No Fault Found</t>
  </si>
  <si>
    <t>user is working on fixing the issue and confirmed for closure</t>
  </si>
  <si>
    <t>INC6186808</t>
  </si>
  <si>
    <t>akamai load balancer config for GSK-On</t>
  </si>
  <si>
    <t xml:space="preserve">I had call with requester needs to raise support request instead of incident. </t>
  </si>
  <si>
    <t>INC6190660</t>
  </si>
  <si>
    <t>user query --folders in my Winscp but I am unable see them now</t>
  </si>
  <si>
    <t>Integration Issue</t>
  </si>
  <si>
    <t>CDN drives were mapped successfully and validated the SFTP folders from our end. user confirmed that they are now able to see the folders so proceeding for incident closure.</t>
  </si>
  <si>
    <t>INC6190962</t>
  </si>
  <si>
    <t>WinSCP - Folders have disappeared</t>
  </si>
  <si>
    <t>INC6198395</t>
  </si>
  <si>
    <t>CF Pre-Prod build are failing</t>
  </si>
  <si>
    <t xml:space="preserve"> a manual permission change was causing the deployment to fail. After undoing the permission change, the deployment went through and issue is resolved. User confirmed to close the INC</t>
  </si>
  <si>
    <t>INC6205842</t>
  </si>
  <si>
    <t>GSK Pro - Unable to login</t>
  </si>
  <si>
    <t>User confirmed that the issue is resolved and the INC can be closed</t>
  </si>
  <si>
    <t>INC6210875</t>
  </si>
  <si>
    <t>portal is low</t>
  </si>
  <si>
    <t>User informed that it has been solved</t>
  </si>
  <si>
    <t>INC6226905</t>
  </si>
  <si>
    <t>Workflows are not working in QA</t>
  </si>
  <si>
    <t>Closing this INC as this doesn't qualify as an incident. Creating a snow req for the same.</t>
  </si>
  <si>
    <t>INC6226994</t>
  </si>
  <si>
    <t>LOGIN Disable in www.edott.it</t>
  </si>
  <si>
    <t>User told there is no error now and ticket can be closed</t>
  </si>
  <si>
    <t>INC6227123</t>
  </si>
  <si>
    <t>AEM - facing issue in accessing the aem link</t>
  </si>
  <si>
    <t>Since this issue is related to account reactivation, asked to user to create a snow request for the same.</t>
  </si>
  <si>
    <t>INC6228875</t>
  </si>
  <si>
    <t>AEM Tree Activation to Production - 502 Error</t>
  </si>
  <si>
    <t>Issue is not found from our end connected with user and checked he is able activate and confirmed for ticket closure</t>
  </si>
  <si>
    <t>INC6231004</t>
  </si>
  <si>
    <t>Interactive tool on staging returning an error.</t>
  </si>
  <si>
    <t>User informed that they were able to access the URL without any issue later.</t>
  </si>
  <si>
    <t>INC6240655</t>
  </si>
  <si>
    <t>CF65 manual Jenkins job chef-deploy-prd is repeatedly failing for production deployments</t>
  </si>
  <si>
    <t>Restarted the Jenkins Docker container, which resulted in the cleanup of the existing virtual environment. After the restart, the pipeline was revalidated and is working as expected. The issue has been resolved, and the ticket is being closed.</t>
  </si>
  <si>
    <t>INC6241263</t>
  </si>
  <si>
    <t>GSKPro Medical site authoring error</t>
  </si>
  <si>
    <t xml:space="preserve"> Geethanjali reported that the GSKPro medical authoring site is showing an error which is blocking site authoring and provided the site URL for reference she raised incident instead of ticket._x000D_
</t>
  </si>
  <si>
    <t>INC6245070</t>
  </si>
  <si>
    <t>Dedicated Sites are not reachable.</t>
  </si>
  <si>
    <t xml:space="preserve">Dedicated staging applications((brazil-vaccines, Click2chat-chat, indiainfection-indiainfection, nordic-umbraco) are currently not accessible due to a connectivity issue between Akamai and the Load Balancer caused by an SSL certificate problem._x000D_
_x000D_
The fix is fixed after updating new certificate and removing the expired cert, </t>
  </si>
  <si>
    <t>INC6247084</t>
  </si>
  <si>
    <t>Teja Bolla</t>
  </si>
  <si>
    <t xml:space="preserve">Enable URLs </t>
  </si>
  <si>
    <t>user reported working fine hence closing the incident</t>
  </si>
  <si>
    <t>INC6249312</t>
  </si>
  <si>
    <t>Adobe Experience Manager | images not rendering in the Duo content block</t>
  </si>
  <si>
    <t>Asked the user to raise a SNOW request as the mentioned issue is different than the issue for which the INC was raised initially</t>
  </si>
  <si>
    <t>INC6252038</t>
  </si>
  <si>
    <t>Enabling DELETE method for variants dashboard</t>
  </si>
  <si>
    <t xml:space="preserve">The delete method is implemented on all the below instances by the GSK SME's:_x000D_
author.prod-cf65.gskinternet.com_x000D_
author.regression-cf65.gskinternet.com_x000D_
author.preprod-cf65.gskinternet.com_x000D_
author.integration-cf65.gskinternet.com_x000D_
_x000D_
User validated the method on all 4 instances, and the delete method is working as expected. </t>
  </si>
  <si>
    <t>INC6253166</t>
  </si>
  <si>
    <t>https://polpasiecstop.pl content not refreshing</t>
  </si>
  <si>
    <t>App pool recycled on the server fixed the issue and latest deployed content is now visible properly over the site. user confirmed on the same and incident closure.</t>
  </si>
  <si>
    <t>INC6258745</t>
  </si>
  <si>
    <t xml:space="preserve">Video is not getting played on Iphone mobile Device </t>
  </si>
  <si>
    <t>As the issue is not connected to our team requested user to check with the specific team responsible for the video not working.</t>
  </si>
  <si>
    <t>INC6271864</t>
  </si>
  <si>
    <t xml:space="preserve"> AEM - unable to save changes - edits not getting saved error</t>
  </si>
  <si>
    <t>As discussed, this issue is related to AEM slowness, due to which users are intermittently experiencing session timeout errors while saving components. The issue is not consistent and works as expected after the user refreshes the page._x000D_
_x000D_
We have informed the user that multiple activities are currently in progress to mitigate the AEM slowness, including offline AEM compaction. The execution of offline compaction in Production has been delayed due to current business priorities. The approved maintenance window for execution is scheduled from 03 July 2026 to 06 July 2026._x000D_
_x000D_
The relevant maintenance notifications and schedules have already been communicated to stakeholders. Additionally, outage and maintenance communications are being shared via email as part of the standard notification process. We are closing the INC for now. Feel free to reach out to our team if the issue persists after the activities are completed. Thank you.</t>
  </si>
  <si>
    <t>INC6277456</t>
  </si>
  <si>
    <t>Error reading from server in production deploy new-mundovacunas.com</t>
  </si>
  <si>
    <t>Post the docker configuration was updated the build for the PROD became successful User also reported as working fine_x000D_
Hence closing the incident</t>
  </si>
  <si>
    <t>INC6283262</t>
  </si>
  <si>
    <t>Required password sftp of Host: sftp.gskinternet.com</t>
  </si>
  <si>
    <t>Shared the new login credentials to the user to login SFTP account and confirmed that able to login and working well.</t>
  </si>
  <si>
    <t>INC6286861</t>
  </si>
  <si>
    <t>India Infection Index – Staging BackOffice: file upload request blocked with web protection error</t>
  </si>
  <si>
    <t>User reported working fine hence closing the issue</t>
  </si>
  <si>
    <t>INC6298147</t>
  </si>
  <si>
    <t>Facing issue with opening Indonesia website</t>
  </si>
  <si>
    <t xml:space="preserve">The issue got resolved from user end, site was opening correctly. </t>
  </si>
  <si>
    <t>INC6302225</t>
  </si>
  <si>
    <t>Pooja B K</t>
  </si>
  <si>
    <t>Need to connect MySql to Databricks - details needed. Pooja BK is working on this</t>
  </si>
  <si>
    <t>Sunil Asam</t>
  </si>
  <si>
    <t>The user is able to connect to the Database using MySQL Workbench however, they wanted to connect using Azure Databricks for which we have informed that the network connectivity between GCP and Azure is not there and redirected them to the corresponding team who can establish this network connectivity for Azure Databricks.</t>
  </si>
  <si>
    <t>INC6303544</t>
  </si>
  <si>
    <t>AEM Platform not working</t>
  </si>
  <si>
    <t>There is scheduled maintenance for production due to offline compaction. Informed user about the same</t>
  </si>
  <si>
    <t>INC6305485</t>
  </si>
  <si>
    <t>Production AEM Author Environment Unavailable</t>
  </si>
  <si>
    <t>Caused By Change</t>
  </si>
  <si>
    <t>Prod author is put under maintenance since there is an ongoing AEM compaction activity._x000D_
Timeline: 3rd July to 6th July._x000D_
Communications were already sent to all the teams as well as maintenance notification was enabled on the prod author regarding this activity.</t>
  </si>
  <si>
    <t>INC6328347</t>
  </si>
  <si>
    <t>Sambit Da</t>
  </si>
  <si>
    <t>IIS - Staging is TROUBLE
Integration Name-ServiceNow Integration - iis-stg
----------------------------------------
Display Name :</t>
  </si>
  <si>
    <t>Closed the task associated with alert: Alert8024574</t>
  </si>
  <si>
    <t>INC6328804</t>
  </si>
  <si>
    <t>Browser Compatibility Issue</t>
  </si>
  <si>
    <t>Received multiple sites down alerts on AEM. The alerts are resolved now. The sites are up and running</t>
  </si>
  <si>
    <t>INC6342221</t>
  </si>
  <si>
    <t>Smartflow staging site getting error</t>
  </si>
  <si>
    <t>New code from application end was pushed to fix the error on docker logs. User also confirmed that the production environment will remain under maintenance while we continue working on additional features and testing them in the staging environment. Once all work is completed and validated, they will proceed with deployment to the production environment.</t>
  </si>
  <si>
    <t>INC6342463</t>
  </si>
  <si>
    <t>Closed the task associated with alert: Alert8033895</t>
  </si>
  <si>
    <t>INC6342497</t>
  </si>
  <si>
    <t>Corp Umbraco Admin - Author is TROUBLE
Integration Name-ServiceNow Integration - corp-umbraco-author
------------------------------</t>
  </si>
  <si>
    <t>Closed the task associated with alert: Alert8033910</t>
  </si>
  <si>
    <t>INC6342584</t>
  </si>
  <si>
    <t>Corp Umbraco Admin - Production is TROUBLE
Integration Name-ServiceNow Integration - corp-umbraco-prd
-----------------------------</t>
  </si>
  <si>
    <t>Closed the task associated with alert: Alert8033942</t>
  </si>
  <si>
    <t>INC6343045</t>
  </si>
  <si>
    <t>Jenkins Pipelines are failling</t>
  </si>
  <si>
    <t>Issue Statement_x000D_
• Jenkins pipeline for the medical-affairs-theme repository is failing during pipeline generation; communications were sent to Sambit Da and updates will continue in related request RITM3540978._x000D_
• The issue appears to be part of a service request rather than an incident and priority was lowered from Critical to High, suggesting the failure is being tracked under a different record rather than an active incident response._x000D_
_x000D_
Resolution Summary_x000D_
• Updated record to indicate this activity is part of a service request and transitioned further updates to RITM3540978; communicated status to Sambit Da and closed the incident in favor of handling through the service request workflow.</t>
  </si>
  <si>
    <t>INC6347417</t>
  </si>
  <si>
    <t xml:space="preserve">Group of alerts, AEM CF65 - Production is TROUBLE
Integration Name-ServiceNow Integration - cf65-prd
----------------------------------------
Display Name : AEM CF65 - Production 
Monitor Groups : AEM CF65 - Production 
Tags : prd:prd, cf65:AEM CF65
\nMonitor Type : HEALTHCHECK 
Monitor status : Trouble 
Trouble since : July 12, 2026, 7:42 GMT 
Reason : Down exceeds 10 % 
Dashboard link : https://www.site24x7.com/app/client#/home/monitors/523821000000192079/Summary 
</t>
  </si>
  <si>
    <t xml:space="preserve">No outage received </t>
  </si>
  <si>
    <t>INC6347419</t>
  </si>
  <si>
    <t xml:space="preserve">Group of alerts, AEM CF65 - Production is TROUBLE
Integration Name-ServiceNow Integration - cf65-prd
----------------------------------------
Display Name : AEM CF65 - Production 
Monitor Groups : AEM CF65 - Production 
Tags : prd:prd, cf65:AEM CF65
\nMonitor Type : HEALTHCHECK 
Monitor status : Trouble 
Trouble since : July 5, 2026, 5:38 GMT 
Reason : Down exceeds 10 % 
Dashboard link : https://www.site24x7.com/app/client#/home/monitors/523821000000192079/Summary 
</t>
  </si>
  <si>
    <t>No outage received</t>
  </si>
  <si>
    <t>INC6347858</t>
  </si>
  <si>
    <t>Closed the task associated with alert: Alert8044673</t>
  </si>
  <si>
    <t>INC6347859</t>
  </si>
  <si>
    <t>Closed the task associated with alert: Alert8044674</t>
  </si>
  <si>
    <t>INC6347860</t>
  </si>
  <si>
    <t>Closed the task associated with alert: Alert8044676</t>
  </si>
  <si>
    <t>INC6349308</t>
  </si>
  <si>
    <t>Closed the task associated with alert: Alert8048138</t>
  </si>
  <si>
    <t>INC6353591</t>
  </si>
  <si>
    <t>AEM -- AEM access issue -- failed to sync SAML user</t>
  </si>
  <si>
    <t>User's AEM account was disabled due to inactivity for 90 days. We have enabled users account now and we got the confirmation.</t>
  </si>
  <si>
    <t>INC6356421</t>
  </si>
  <si>
    <t>issue - access for production link</t>
  </si>
  <si>
    <t>Issue Statement_x000D_
• Arun Ramakrishnan requested access for multiple team members to the "gsk-cf-impfakademie-2-de-de-authors" and "gsk-cf-impfakademie-2-de-de-approvers" groups in preprod and production environments; users and environments were provided in the comments._x000D_
• The request was raised as an incident rather than a service request, causing categorization mismatch and the need to re-submit via the service catalog._x000D_
_x000D_
Resolution Summary_x000D_
• Advised the caller to raise the request as a service request and provided the service catalog link; the user then raised RITM3551090 and the ticket was closed as the request was re-submitted through the correct channel.</t>
  </si>
  <si>
    <t>INC6357552</t>
  </si>
  <si>
    <t>Tomcat stage server went to hung state.</t>
  </si>
  <si>
    <t>Infrastructure Hardware</t>
  </si>
  <si>
    <t>Issue Statement_x000D_
• The Tomcat stage VM (tomcat-ub24-1) became unresponsive and inaccessible due to disk I/O errors observed in system logs._x000D_
_x000D_
Resolution Summary_x000D_
• Rebooted the server, validated accessibility and service health, confirmed load balancer is healthy, and provided a screenshot for reference; system remained accessible after the reboot.</t>
  </si>
  <si>
    <t>INC6360703</t>
  </si>
  <si>
    <t>Resolved</t>
  </si>
  <si>
    <t>Jenkins preprod job failure – trelegy-v3/develop – cannot resume build due to FlowNode load error</t>
  </si>
  <si>
    <t>Capacity Issue</t>
  </si>
  <si>
    <t>Root Cause:_x000D_
 The Jenkins container/pod was OOMKilled (Out of Memory Killed) due to insufficient memory allocation. As a result, the Jenkins process terminated unexpectedly while the pipeline was running, causing FlowNode metadata corruption/loss and preventing the build from resuming._x000D_
_x000D_
Solution:_x000D_
 Increased the memory allocation for the Jenkins container/pod to prevent OOM events. After the memory increase, re-trigger the pipeline and monitor resource utilization to ensure stable execution and avoid further FlowNode recovery issues.</t>
  </si>
  <si>
    <t>INC6365238</t>
  </si>
  <si>
    <t>Hari Krishna</t>
  </si>
  <si>
    <t>Please ignore the alert. This is due to as part of maintenance activity</t>
  </si>
  <si>
    <t>INC6366072</t>
  </si>
  <si>
    <t>Closed the task associated with alert: Alert8063620</t>
  </si>
  <si>
    <t>INC6366079</t>
  </si>
  <si>
    <t>Zephyr - Training is DOWN
Integration Name-ServiceNow Integration - zephyr-trn
----------------------------------------
Display Nam</t>
  </si>
  <si>
    <t>Closed the task associated with alert: Alert8063654</t>
  </si>
  <si>
    <t>INC6368354</t>
  </si>
  <si>
    <t>Apache Tomcat - Production is DOWN
Integration Name-ServiceNow Integration - tomcat-prd
----------------------------------------
Di</t>
  </si>
  <si>
    <t>Closed the task associated with alert: Alert8066737</t>
  </si>
  <si>
    <t>INC6368496</t>
  </si>
  <si>
    <t>Closed the task associated with alert: Alert8067220</t>
  </si>
  <si>
    <t>INC6368618</t>
  </si>
  <si>
    <t>Closed the task associated with alert: Alert8067298</t>
  </si>
  <si>
    <t>INC6368682</t>
  </si>
  <si>
    <t>Closed the task associated with alert: Alert8067349</t>
  </si>
  <si>
    <t>INC6369000</t>
  </si>
  <si>
    <t>Apache NodeJS - Production is DOWN
Integration Name-ServiceNow Integration - nodejs-prd
----------------------------------------
Di</t>
  </si>
  <si>
    <t>Closed the task associated with alert: Alert8067447</t>
  </si>
  <si>
    <t>Source Group</t>
  </si>
  <si>
    <t>Assignment Group</t>
  </si>
  <si>
    <t>HP Router / Web Management L2</t>
  </si>
  <si>
    <t>HP AEM Engineering L2</t>
  </si>
  <si>
    <t>HP Website Edition L2</t>
  </si>
  <si>
    <t>IHP-Website-Editors-L2</t>
  </si>
  <si>
    <t>Created Month</t>
  </si>
  <si>
    <t>cmdb_ci</t>
  </si>
  <si>
    <t>SFTP Hosting (GlobalScape EFT) - IHP Support Tool</t>
  </si>
  <si>
    <t>Internet Shared Web Hosting Support</t>
  </si>
  <si>
    <t>AEM CF65 - Pre-Production Publish - Internet Hosting and Platforms (IHP) Web Hosting Service</t>
  </si>
  <si>
    <t>CI/CD Tools Support for Digital Marketing Tech</t>
  </si>
  <si>
    <t>AEM Zephyr - Production - Internet Hosting and Platforms (IHP) Web Hosting Service</t>
  </si>
  <si>
    <t>AEM CF65 - Pre-Production Author - Internet Hosting and Platforms (IHP) Web Hosting Service</t>
  </si>
  <si>
    <t>AEM CF65 - Production Author - Internet Hosting and Platforms (IHP) Web Hosting Service</t>
  </si>
  <si>
    <t>AEM Zephyr - Quality Assurance - Internet Hosting and Platforms (IHP) Web Hosting Service</t>
  </si>
  <si>
    <t>Apache NodeJS - Staging - Internet Hosting and Platforms (IHP) Web Hosting Service</t>
  </si>
  <si>
    <t>IIS Umbraco - Staging Web - Internet Hosting and Platforms (IHP) Web Hosting Service</t>
  </si>
  <si>
    <t>Corp Umbraco Cloud Run - Author - Internet Hosting and Platforms &amp; Web Hosting Service</t>
  </si>
  <si>
    <t>AEM CF65 - Production Publish - Internet Hosting and Platforms (IHP) Web Hosting Service</t>
  </si>
  <si>
    <t>AEM - Shared Internet Hosting Support</t>
  </si>
  <si>
    <t>Cloud Functions - IHP GCP Product</t>
  </si>
  <si>
    <t>Apache Static - Staging - Internet Hosting and Platforms (IHP) Web Hosting Service</t>
  </si>
  <si>
    <t>Searchblox - Production - Internet Hosting and Platforms (IHP) Site Service</t>
  </si>
  <si>
    <t>Apache PHP - Production - Internet Hosting and Platforms (IHP) Web Hosting Service</t>
  </si>
  <si>
    <t>IIS .Net - Production - Internet Hosting and Platforms (IHP) Web Hosting Service</t>
  </si>
  <si>
    <t>Click2Chat chat - Production - Internet Hosting and Platforms (IHP) Dedicated Environment</t>
  </si>
  <si>
    <t>Tomcat - Production - Internet Hosting and Platforms (IHP) Web Hosting Service</t>
  </si>
  <si>
    <t>AEM CF65 - Production Preview - Internet Hosting and Platforms (IHP) Web Hosting Service</t>
  </si>
  <si>
    <t>India Infection Index - Staging - Internet Hosting and Platforms (IHP) Dedicated Environment</t>
  </si>
  <si>
    <t>MySQL Shared - Production - Internet Hosting and Platforms (IHP) Database Hosting Service</t>
  </si>
  <si>
    <t>IIS .Net - Staging - Internet Hosting and Platforms (IHP) Web Hosting Service</t>
  </si>
  <si>
    <t>Corp Umbraco Cloud Run - Production - Internet Hosting and Platforms &amp; Web Hosting Service</t>
  </si>
  <si>
    <t>Tomcat - Staging - Internet Hosting and Platforms (IHP) Web Hosting Service</t>
  </si>
  <si>
    <t>AEM Zephyr - Training - Internet Hosting and Platforms (IHP) Web Hosting Service</t>
  </si>
  <si>
    <t>Apache NodeJS - Production - Internet Hosting and Platforms (IHP) Web Hosting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</si>
</sst>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0" fillId="0" borderId="0" xfId="0"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0" xfId="0" applyBorder="1" applyAlignment="1">
      <alignment horizontal="center" vertical="center"/>
    </xf>
    <xf numFmtId="22" fontId="0" fillId="0" borderId="10" xfId="0" applyNumberFormat="1"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xf>
    <xf numFmtId="17" fontId="0" fillId="0" borderId="12" xfId="0" applyNumberFormat="1" applyBorder="1" applyAlignment="1">
      <alignment horizontal="center" vertical="center"/>
    </xf>
    <xf numFmtId="17" fontId="0" fillId="0" borderId="10" xfId="0" applyNumberFormat="1" applyBorder="1" applyAlignment="1">
      <alignment horizontal="center" vertical="center"/>
    </xf>
    <xf numFmtId="17" fontId="0" fillId="0" borderId="17" xfId="0" applyNumberFormat="1"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19" xfId="0"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numFmt numFmtId="22" formatCode="mmm\-yy"/>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7" formatCode="m/d/yyyy\ h:mm"/>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7" formatCode="m/d/yyyy\ h:mm"/>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7" formatCode="m/d/yyyy\ h:mm"/>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7" formatCode="m/d/yyyy\ h:mm"/>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6DD615-46A4-47AF-BDE4-0D957D780016}" name="Table1" displayName="Table1" ref="A1:O192" totalsRowShown="0" headerRowDxfId="25" dataDxfId="23" headerRowBorderDxfId="24" tableBorderDxfId="22" totalsRowBorderDxfId="21">
  <autoFilter ref="A1:O192" xr:uid="{C06DD615-46A4-47AF-BDE4-0D957D780016}"/>
  <tableColumns count="15">
    <tableColumn id="1" xr3:uid="{23F530A0-9922-4999-AF0E-94854991A414}" name="number" dataDxfId="20"/>
    <tableColumn id="2" xr3:uid="{E8017B75-9ADD-476B-8A94-FD6E30FB23EC}" name="state" dataDxfId="19"/>
    <tableColumn id="3" xr3:uid="{24615125-8F76-4C51-9095-C6B2FCAB3B6B}" name="priority" dataDxfId="18"/>
    <tableColumn id="4" xr3:uid="{9B454E8B-D6AD-4FB2-92A6-30DCD21E8508}" name="sys_created_on" dataDxfId="17"/>
    <tableColumn id="15" xr3:uid="{2E4860BB-4AFC-4692-A18A-22ED7294FCA8}" name="cmdb_ci" dataDxfId="16"/>
    <tableColumn id="5" xr3:uid="{4BDBFCA2-8E80-47F5-A2E8-EAF3B4F21C57}" name="assignment_group" dataDxfId="15"/>
    <tableColumn id="6" xr3:uid="{6450C196-D756-48C9-ABCB-C73280835338}" name="assigned_to" dataDxfId="14"/>
    <tableColumn id="7" xr3:uid="{C383F218-8772-413B-B7B5-1843A0B62B42}" name="short_description" dataDxfId="13"/>
    <tableColumn id="8" xr3:uid="{5CCF5AB4-3F28-442A-8927-9CA4F8D31833}" name="sys_updated_on" dataDxfId="12"/>
    <tableColumn id="9" xr3:uid="{62A395B5-7AF2-47F7-814C-3AE7C3E75159}" name="resolved_at" dataDxfId="11"/>
    <tableColumn id="10" xr3:uid="{E08910EA-83A1-4996-9BC0-69CCF8DC7254}" name="resolved_by" dataDxfId="10"/>
    <tableColumn id="11" xr3:uid="{C150213E-1C0E-4D3A-8E9C-C8C2FF1898DF}" name="close_code" dataDxfId="9"/>
    <tableColumn id="12" xr3:uid="{C6CF2ECF-B0CF-402B-85AE-2094BBA8CD0B}" name="close_notes" dataDxfId="8"/>
    <tableColumn id="13" xr3:uid="{37A5554F-E63F-4E70-9D04-EA848A6976C0}" name="closed_at" dataDxfId="7"/>
    <tableColumn id="14" xr3:uid="{8123F15E-AAAE-4F36-B6DD-00F5E7E14F94}" name="Created Month" dataDxfId="6">
      <calculatedColumnFormula>INT(Table1[[#This Row],[sys_created_on]])</calculatedColumnFormula>
    </tableColumn>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F4B9B33-A066-4B92-9A71-EAEF41C82D1D}" name="Table2" displayName="Table2" ref="A1:B6" totalsRowShown="0" headerRowDxfId="5" headerRowBorderDxfId="4" tableBorderDxfId="3" totalsRowBorderDxfId="2">
  <autoFilter ref="A1:B6" xr:uid="{1F4B9B33-A066-4B92-9A71-EAEF41C82D1D}"/>
  <tableColumns count="2">
    <tableColumn id="1" xr3:uid="{458C59DA-3B44-4BE2-B689-6F781BE8F251}" name="Source Group" dataDxfId="1"/>
    <tableColumn id="2" xr3:uid="{447FB7B5-F9A8-4B23-83C2-4AFD3E3B7B35}" name="Assignment Group"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52858-1C0A-464E-8E2F-69B9796CAF0C}">
  <dimension ref="A1:O192"/>
  <sheetViews>
    <sheetView tabSelected="1" workbookViewId="0">
      <selection activeCell="G1" sqref="G1:G1048576"/>
    </sheetView>
  </sheetViews>
  <sheetFormatPr defaultRowHeight="14.5" x14ac:dyDescent="0.35"/>
  <cols>
    <col min="1" max="1" width="10.81640625" bestFit="1" customWidth="1"/>
    <col min="2" max="2" width="8.08984375" bestFit="1" customWidth="1"/>
    <col min="3" max="3" width="10.90625" bestFit="1" customWidth="1"/>
    <col min="4" max="4" width="14.08984375" bestFit="1" customWidth="1"/>
    <col min="5" max="5" width="77.36328125" bestFit="1" customWidth="1"/>
    <col min="6" max="6" width="22" bestFit="1" customWidth="1"/>
    <col min="7" max="7" width="20.81640625" bestFit="1" customWidth="1"/>
    <col min="8" max="8" width="15.1796875" customWidth="1"/>
    <col min="9" max="9" width="14.36328125" bestFit="1" customWidth="1"/>
    <col min="10" max="10" width="14.08984375" bestFit="1" customWidth="1"/>
    <col min="11" max="11" width="20.81640625" bestFit="1" customWidth="1"/>
    <col min="12" max="12" width="26.1796875" bestFit="1" customWidth="1"/>
    <col min="13" max="13" width="15.1796875" customWidth="1"/>
    <col min="14" max="14" width="14.08984375" bestFit="1" customWidth="1"/>
    <col min="15" max="15" width="13.1796875" bestFit="1" customWidth="1"/>
  </cols>
  <sheetData>
    <row r="1" spans="1:15" x14ac:dyDescent="0.35">
      <c r="A1" s="14" t="s">
        <v>0</v>
      </c>
      <c r="B1" s="15" t="s">
        <v>1</v>
      </c>
      <c r="C1" s="15" t="s">
        <v>2</v>
      </c>
      <c r="D1" s="15" t="s">
        <v>3</v>
      </c>
      <c r="E1" s="1" t="s">
        <v>606</v>
      </c>
      <c r="F1" s="15" t="s">
        <v>4</v>
      </c>
      <c r="G1" s="15" t="s">
        <v>5</v>
      </c>
      <c r="H1" s="15" t="s">
        <v>6</v>
      </c>
      <c r="I1" s="15" t="s">
        <v>7</v>
      </c>
      <c r="J1" s="15" t="s">
        <v>8</v>
      </c>
      <c r="K1" s="15" t="s">
        <v>9</v>
      </c>
      <c r="L1" s="15" t="s">
        <v>10</v>
      </c>
      <c r="M1" s="15" t="s">
        <v>11</v>
      </c>
      <c r="N1" s="16" t="s">
        <v>12</v>
      </c>
      <c r="O1" s="3" t="s">
        <v>605</v>
      </c>
    </row>
    <row r="2" spans="1:15" x14ac:dyDescent="0.35">
      <c r="A2" s="6" t="s">
        <v>13</v>
      </c>
      <c r="B2" s="6" t="s">
        <v>14</v>
      </c>
      <c r="C2" s="6" t="s">
        <v>15</v>
      </c>
      <c r="D2" s="7">
        <v>46027.865532407406</v>
      </c>
      <c r="E2" s="6" t="s">
        <v>607</v>
      </c>
      <c r="F2" s="6" t="s">
        <v>16</v>
      </c>
      <c r="G2" s="6" t="s">
        <v>17</v>
      </c>
      <c r="H2" s="6" t="s">
        <v>18</v>
      </c>
      <c r="I2" s="7">
        <v>46036.417199074072</v>
      </c>
      <c r="J2" s="7">
        <v>46029.389374999999</v>
      </c>
      <c r="K2" s="6" t="s">
        <v>19</v>
      </c>
      <c r="L2" s="6" t="s">
        <v>20</v>
      </c>
      <c r="M2" s="6" t="s">
        <v>21</v>
      </c>
      <c r="N2" s="7">
        <v>46036.417199074072</v>
      </c>
      <c r="O2" s="11">
        <f>INT(Table1[[#This Row],[sys_created_on]])</f>
        <v>46027</v>
      </c>
    </row>
    <row r="3" spans="1:15" x14ac:dyDescent="0.35">
      <c r="A3" s="6" t="s">
        <v>22</v>
      </c>
      <c r="B3" s="6" t="s">
        <v>14</v>
      </c>
      <c r="C3" s="6" t="s">
        <v>23</v>
      </c>
      <c r="D3" s="7">
        <v>46027.909201388888</v>
      </c>
      <c r="E3" s="6" t="s">
        <v>608</v>
      </c>
      <c r="F3" s="6" t="s">
        <v>16</v>
      </c>
      <c r="G3" s="6" t="s">
        <v>17</v>
      </c>
      <c r="H3" s="6" t="s">
        <v>24</v>
      </c>
      <c r="I3" s="7">
        <v>46035.750416666669</v>
      </c>
      <c r="J3" s="7">
        <v>46028.711724537039</v>
      </c>
      <c r="K3" s="6" t="s">
        <v>17</v>
      </c>
      <c r="L3" s="6" t="s">
        <v>20</v>
      </c>
      <c r="M3" s="6" t="s">
        <v>25</v>
      </c>
      <c r="N3" s="7">
        <v>46035.750416666669</v>
      </c>
      <c r="O3" s="12">
        <f>INT(Table1[[#This Row],[sys_created_on]])</f>
        <v>46027</v>
      </c>
    </row>
    <row r="4" spans="1:15" x14ac:dyDescent="0.35">
      <c r="A4" s="6" t="s">
        <v>26</v>
      </c>
      <c r="B4" s="6" t="s">
        <v>14</v>
      </c>
      <c r="C4" s="6" t="s">
        <v>23</v>
      </c>
      <c r="D4" s="7">
        <v>46028.101319444446</v>
      </c>
      <c r="E4" s="6" t="s">
        <v>608</v>
      </c>
      <c r="F4" s="6" t="s">
        <v>16</v>
      </c>
      <c r="G4" s="6" t="s">
        <v>19</v>
      </c>
      <c r="H4" s="6" t="s">
        <v>27</v>
      </c>
      <c r="I4" s="7">
        <v>46036.33421296296</v>
      </c>
      <c r="J4" s="7">
        <v>46029.333043981482</v>
      </c>
      <c r="K4" s="6" t="s">
        <v>19</v>
      </c>
      <c r="L4" s="6" t="s">
        <v>28</v>
      </c>
      <c r="M4" s="6" t="s">
        <v>29</v>
      </c>
      <c r="N4" s="7">
        <v>46036.33421296296</v>
      </c>
      <c r="O4" s="12">
        <f>INT(Table1[[#This Row],[sys_created_on]])</f>
        <v>46028</v>
      </c>
    </row>
    <row r="5" spans="1:15" x14ac:dyDescent="0.35">
      <c r="A5" s="6" t="s">
        <v>30</v>
      </c>
      <c r="B5" s="6" t="s">
        <v>14</v>
      </c>
      <c r="C5" s="6" t="s">
        <v>15</v>
      </c>
      <c r="D5" s="7">
        <v>46028.689606481479</v>
      </c>
      <c r="E5" s="6" t="s">
        <v>607</v>
      </c>
      <c r="F5" s="6" t="s">
        <v>16</v>
      </c>
      <c r="G5" s="6" t="s">
        <v>19</v>
      </c>
      <c r="H5" s="6" t="s">
        <v>31</v>
      </c>
      <c r="I5" s="7">
        <v>46036.666724537034</v>
      </c>
      <c r="J5" s="7">
        <v>46029.656192129631</v>
      </c>
      <c r="K5" s="6" t="s">
        <v>32</v>
      </c>
      <c r="L5" s="6" t="s">
        <v>33</v>
      </c>
      <c r="M5" s="6" t="s">
        <v>34</v>
      </c>
      <c r="N5" s="7">
        <v>46036.666724537034</v>
      </c>
      <c r="O5" s="12">
        <f>INT(Table1[[#This Row],[sys_created_on]])</f>
        <v>46028</v>
      </c>
    </row>
    <row r="6" spans="1:15" x14ac:dyDescent="0.35">
      <c r="A6" s="6" t="s">
        <v>35</v>
      </c>
      <c r="B6" s="6" t="s">
        <v>14</v>
      </c>
      <c r="C6" s="6" t="s">
        <v>15</v>
      </c>
      <c r="D6" s="7">
        <v>46034.416412037041</v>
      </c>
      <c r="E6" s="6" t="s">
        <v>608</v>
      </c>
      <c r="F6" s="6" t="s">
        <v>16</v>
      </c>
      <c r="G6" s="6" t="s">
        <v>32</v>
      </c>
      <c r="H6" s="6" t="s">
        <v>36</v>
      </c>
      <c r="I6" s="7">
        <v>46041.541712962964</v>
      </c>
      <c r="J6" s="7">
        <v>46034.516851851855</v>
      </c>
      <c r="K6" s="6" t="s">
        <v>32</v>
      </c>
      <c r="L6" s="6" t="s">
        <v>37</v>
      </c>
      <c r="M6" s="6" t="s">
        <v>38</v>
      </c>
      <c r="N6" s="7">
        <v>46041.541712962964</v>
      </c>
      <c r="O6" s="12">
        <f>INT(Table1[[#This Row],[sys_created_on]])</f>
        <v>46034</v>
      </c>
    </row>
    <row r="7" spans="1:15" x14ac:dyDescent="0.35">
      <c r="A7" s="6" t="s">
        <v>39</v>
      </c>
      <c r="B7" s="6" t="s">
        <v>14</v>
      </c>
      <c r="C7" s="6" t="s">
        <v>15</v>
      </c>
      <c r="D7" s="7">
        <v>46034.418807870374</v>
      </c>
      <c r="E7" s="6" t="s">
        <v>609</v>
      </c>
      <c r="F7" s="6" t="s">
        <v>40</v>
      </c>
      <c r="G7" s="6" t="s">
        <v>41</v>
      </c>
      <c r="H7" s="6" t="s">
        <v>42</v>
      </c>
      <c r="I7" s="7">
        <v>46041.541805555556</v>
      </c>
      <c r="J7" s="7">
        <v>46034.50440972222</v>
      </c>
      <c r="K7" s="6"/>
      <c r="L7" s="6" t="s">
        <v>43</v>
      </c>
      <c r="M7" s="6" t="s">
        <v>44</v>
      </c>
      <c r="N7" s="7">
        <v>46041.541805555556</v>
      </c>
      <c r="O7" s="12">
        <f>INT(Table1[[#This Row],[sys_created_on]])</f>
        <v>46034</v>
      </c>
    </row>
    <row r="8" spans="1:15" x14ac:dyDescent="0.35">
      <c r="A8" s="6" t="s">
        <v>45</v>
      </c>
      <c r="B8" s="6" t="s">
        <v>14</v>
      </c>
      <c r="C8" s="6" t="s">
        <v>15</v>
      </c>
      <c r="D8" s="7">
        <v>46034.481712962966</v>
      </c>
      <c r="E8" s="6" t="s">
        <v>608</v>
      </c>
      <c r="F8" s="6" t="s">
        <v>16</v>
      </c>
      <c r="G8" s="6" t="s">
        <v>32</v>
      </c>
      <c r="H8" s="6" t="s">
        <v>46</v>
      </c>
      <c r="I8" s="7">
        <v>46045.750231481485</v>
      </c>
      <c r="J8" s="7">
        <v>46038.736458333333</v>
      </c>
      <c r="K8" s="6" t="s">
        <v>32</v>
      </c>
      <c r="L8" s="6" t="s">
        <v>28</v>
      </c>
      <c r="M8" s="6" t="s">
        <v>47</v>
      </c>
      <c r="N8" s="7">
        <v>46045.750231481485</v>
      </c>
      <c r="O8" s="12">
        <f>INT(Table1[[#This Row],[sys_created_on]])</f>
        <v>46034</v>
      </c>
    </row>
    <row r="9" spans="1:15" x14ac:dyDescent="0.35">
      <c r="A9" s="6" t="s">
        <v>48</v>
      </c>
      <c r="B9" s="6" t="s">
        <v>14</v>
      </c>
      <c r="C9" s="6" t="s">
        <v>15</v>
      </c>
      <c r="D9" s="7">
        <v>46034.620868055557</v>
      </c>
      <c r="E9" s="6" t="s">
        <v>610</v>
      </c>
      <c r="F9" s="6" t="s">
        <v>49</v>
      </c>
      <c r="G9" s="6" t="s">
        <v>50</v>
      </c>
      <c r="H9" s="6" t="s">
        <v>51</v>
      </c>
      <c r="I9" s="7">
        <v>46042.625254629631</v>
      </c>
      <c r="J9" s="7">
        <v>46035.617291666669</v>
      </c>
      <c r="K9" s="6" t="s">
        <v>50</v>
      </c>
      <c r="L9" s="6" t="s">
        <v>52</v>
      </c>
      <c r="M9" s="6" t="s">
        <v>53</v>
      </c>
      <c r="N9" s="7">
        <v>46042.625254629631</v>
      </c>
      <c r="O9" s="12">
        <f>INT(Table1[[#This Row],[sys_created_on]])</f>
        <v>46034</v>
      </c>
    </row>
    <row r="10" spans="1:15" x14ac:dyDescent="0.35">
      <c r="A10" s="6" t="s">
        <v>54</v>
      </c>
      <c r="B10" s="6" t="s">
        <v>14</v>
      </c>
      <c r="C10" s="6" t="s">
        <v>55</v>
      </c>
      <c r="D10" s="7">
        <v>46034.719502314816</v>
      </c>
      <c r="E10" s="6" t="s">
        <v>611</v>
      </c>
      <c r="F10" s="6" t="s">
        <v>40</v>
      </c>
      <c r="G10" s="6" t="s">
        <v>56</v>
      </c>
      <c r="H10" s="6" t="s">
        <v>57</v>
      </c>
      <c r="I10" s="7">
        <v>46041.750300925924</v>
      </c>
      <c r="J10" s="7">
        <v>46034.719849537039</v>
      </c>
      <c r="K10" s="6" t="s">
        <v>58</v>
      </c>
      <c r="L10" s="6" t="s">
        <v>43</v>
      </c>
      <c r="M10" s="6" t="s">
        <v>59</v>
      </c>
      <c r="N10" s="7">
        <v>46041.750300925924</v>
      </c>
      <c r="O10" s="12">
        <f>INT(Table1[[#This Row],[sys_created_on]])</f>
        <v>46034</v>
      </c>
    </row>
    <row r="11" spans="1:15" x14ac:dyDescent="0.35">
      <c r="A11" s="6" t="s">
        <v>60</v>
      </c>
      <c r="B11" s="6" t="s">
        <v>14</v>
      </c>
      <c r="C11" s="6" t="s">
        <v>55</v>
      </c>
      <c r="D11" s="7">
        <v>46034.720243055555</v>
      </c>
      <c r="E11" s="6" t="s">
        <v>612</v>
      </c>
      <c r="F11" s="6" t="s">
        <v>40</v>
      </c>
      <c r="G11" s="6" t="s">
        <v>56</v>
      </c>
      <c r="H11" s="6" t="s">
        <v>61</v>
      </c>
      <c r="I11" s="7">
        <v>46041.750277777777</v>
      </c>
      <c r="J11" s="7">
        <v>46034.723391203705</v>
      </c>
      <c r="K11" s="6" t="s">
        <v>58</v>
      </c>
      <c r="L11" s="6" t="s">
        <v>43</v>
      </c>
      <c r="M11" s="6" t="s">
        <v>62</v>
      </c>
      <c r="N11" s="7">
        <v>46041.750277777777</v>
      </c>
      <c r="O11" s="12">
        <f>INT(Table1[[#This Row],[sys_created_on]])</f>
        <v>46034</v>
      </c>
    </row>
    <row r="12" spans="1:15" x14ac:dyDescent="0.35">
      <c r="A12" s="6" t="s">
        <v>63</v>
      </c>
      <c r="B12" s="6" t="s">
        <v>14</v>
      </c>
      <c r="C12" s="6" t="s">
        <v>55</v>
      </c>
      <c r="D12" s="7">
        <v>46034.721655092595</v>
      </c>
      <c r="E12" s="6" t="s">
        <v>613</v>
      </c>
      <c r="F12" s="6" t="s">
        <v>40</v>
      </c>
      <c r="G12" s="6" t="s">
        <v>64</v>
      </c>
      <c r="H12" s="6" t="s">
        <v>65</v>
      </c>
      <c r="I12" s="7">
        <v>46041.750243055554</v>
      </c>
      <c r="J12" s="7">
        <v>46034.723773148151</v>
      </c>
      <c r="K12" s="6" t="s">
        <v>58</v>
      </c>
      <c r="L12" s="6" t="s">
        <v>43</v>
      </c>
      <c r="M12" s="6" t="s">
        <v>66</v>
      </c>
      <c r="N12" s="7">
        <v>46041.750243055554</v>
      </c>
      <c r="O12" s="12">
        <f>INT(Table1[[#This Row],[sys_created_on]])</f>
        <v>46034</v>
      </c>
    </row>
    <row r="13" spans="1:15" x14ac:dyDescent="0.35">
      <c r="A13" s="6" t="s">
        <v>67</v>
      </c>
      <c r="B13" s="6" t="s">
        <v>14</v>
      </c>
      <c r="C13" s="6" t="s">
        <v>55</v>
      </c>
      <c r="D13" s="7">
        <v>46034.721689814818</v>
      </c>
      <c r="E13" s="6" t="s">
        <v>614</v>
      </c>
      <c r="F13" s="6" t="s">
        <v>40</v>
      </c>
      <c r="G13" s="6" t="s">
        <v>56</v>
      </c>
      <c r="H13" s="6" t="s">
        <v>68</v>
      </c>
      <c r="I13" s="7">
        <v>46041.750104166669</v>
      </c>
      <c r="J13" s="7">
        <v>46034.723726851851</v>
      </c>
      <c r="K13" s="6" t="s">
        <v>58</v>
      </c>
      <c r="L13" s="6" t="s">
        <v>43</v>
      </c>
      <c r="M13" s="6" t="s">
        <v>69</v>
      </c>
      <c r="N13" s="7">
        <v>46041.750104166669</v>
      </c>
      <c r="O13" s="12">
        <f>INT(Table1[[#This Row],[sys_created_on]])</f>
        <v>46034</v>
      </c>
    </row>
    <row r="14" spans="1:15" x14ac:dyDescent="0.35">
      <c r="A14" s="6" t="s">
        <v>70</v>
      </c>
      <c r="B14" s="6" t="s">
        <v>14</v>
      </c>
      <c r="C14" s="6" t="s">
        <v>15</v>
      </c>
      <c r="D14" s="7">
        <v>46036.453541666669</v>
      </c>
      <c r="E14" s="6" t="s">
        <v>615</v>
      </c>
      <c r="F14" s="6" t="s">
        <v>16</v>
      </c>
      <c r="G14" s="6" t="s">
        <v>71</v>
      </c>
      <c r="H14" s="6" t="s">
        <v>72</v>
      </c>
      <c r="I14" s="7">
        <v>46043.750138888892</v>
      </c>
      <c r="J14" s="7">
        <v>46036.710289351853</v>
      </c>
      <c r="K14" s="6" t="s">
        <v>71</v>
      </c>
      <c r="L14" s="6" t="s">
        <v>20</v>
      </c>
      <c r="M14" s="6" t="s">
        <v>73</v>
      </c>
      <c r="N14" s="7">
        <v>46043.750138888892</v>
      </c>
      <c r="O14" s="12">
        <f>INT(Table1[[#This Row],[sys_created_on]])</f>
        <v>46036</v>
      </c>
    </row>
    <row r="15" spans="1:15" x14ac:dyDescent="0.35">
      <c r="A15" s="6" t="s">
        <v>74</v>
      </c>
      <c r="B15" s="6" t="s">
        <v>14</v>
      </c>
      <c r="C15" s="6" t="s">
        <v>15</v>
      </c>
      <c r="D15" s="7">
        <v>46036.57408564815</v>
      </c>
      <c r="E15" s="6" t="s">
        <v>616</v>
      </c>
      <c r="F15" s="6" t="s">
        <v>16</v>
      </c>
      <c r="G15" s="6" t="s">
        <v>75</v>
      </c>
      <c r="H15" s="6" t="s">
        <v>76</v>
      </c>
      <c r="I15" s="7">
        <v>46044.66710648148</v>
      </c>
      <c r="J15" s="7">
        <v>46037.649212962962</v>
      </c>
      <c r="K15" s="6" t="s">
        <v>77</v>
      </c>
      <c r="L15" s="6" t="s">
        <v>20</v>
      </c>
      <c r="M15" s="6" t="s">
        <v>78</v>
      </c>
      <c r="N15" s="7">
        <v>46044.667094907411</v>
      </c>
      <c r="O15" s="12">
        <f>INT(Table1[[#This Row],[sys_created_on]])</f>
        <v>46036</v>
      </c>
    </row>
    <row r="16" spans="1:15" x14ac:dyDescent="0.35">
      <c r="A16" s="6" t="s">
        <v>79</v>
      </c>
      <c r="B16" s="6" t="s">
        <v>14</v>
      </c>
      <c r="C16" s="6" t="s">
        <v>23</v>
      </c>
      <c r="D16" s="7">
        <v>46037.274687500001</v>
      </c>
      <c r="E16" s="6" t="s">
        <v>617</v>
      </c>
      <c r="F16" s="6" t="s">
        <v>16</v>
      </c>
      <c r="G16" s="6" t="s">
        <v>80</v>
      </c>
      <c r="H16" s="6" t="s">
        <v>81</v>
      </c>
      <c r="I16" s="7">
        <v>46044.417766203704</v>
      </c>
      <c r="J16" s="7">
        <v>46037.394131944442</v>
      </c>
      <c r="K16" s="6"/>
      <c r="L16" s="6" t="s">
        <v>43</v>
      </c>
      <c r="M16" s="6" t="s">
        <v>82</v>
      </c>
      <c r="N16" s="7">
        <v>46044.417766203704</v>
      </c>
      <c r="O16" s="12">
        <f>INT(Table1[[#This Row],[sys_created_on]])</f>
        <v>46037</v>
      </c>
    </row>
    <row r="17" spans="1:15" x14ac:dyDescent="0.35">
      <c r="A17" s="6" t="s">
        <v>83</v>
      </c>
      <c r="B17" s="6" t="s">
        <v>14</v>
      </c>
      <c r="C17" s="6" t="s">
        <v>15</v>
      </c>
      <c r="D17" s="7">
        <v>46041.500509259262</v>
      </c>
      <c r="E17" s="6" t="s">
        <v>610</v>
      </c>
      <c r="F17" s="6" t="s">
        <v>49</v>
      </c>
      <c r="G17" s="6" t="s">
        <v>50</v>
      </c>
      <c r="H17" s="6" t="s">
        <v>84</v>
      </c>
      <c r="I17" s="7">
        <v>46051.500717592593</v>
      </c>
      <c r="J17" s="7">
        <v>46044.48196759259</v>
      </c>
      <c r="K17" s="6" t="s">
        <v>50</v>
      </c>
      <c r="L17" s="6" t="s">
        <v>85</v>
      </c>
      <c r="M17" s="6" t="s">
        <v>86</v>
      </c>
      <c r="N17" s="7">
        <v>46051.500717592593</v>
      </c>
      <c r="O17" s="12">
        <f>INT(Table1[[#This Row],[sys_created_on]])</f>
        <v>46041</v>
      </c>
    </row>
    <row r="18" spans="1:15" x14ac:dyDescent="0.35">
      <c r="A18" s="6" t="s">
        <v>87</v>
      </c>
      <c r="B18" s="6" t="s">
        <v>14</v>
      </c>
      <c r="C18" s="6" t="s">
        <v>15</v>
      </c>
      <c r="D18" s="7">
        <v>46042.54965277778</v>
      </c>
      <c r="E18" s="6" t="s">
        <v>610</v>
      </c>
      <c r="F18" s="6" t="s">
        <v>49</v>
      </c>
      <c r="G18" s="6" t="s">
        <v>50</v>
      </c>
      <c r="H18" s="6" t="s">
        <v>88</v>
      </c>
      <c r="I18" s="7">
        <v>46049.58394675926</v>
      </c>
      <c r="J18" s="7">
        <v>46042.551099537035</v>
      </c>
      <c r="K18" s="6" t="s">
        <v>50</v>
      </c>
      <c r="L18" s="6" t="s">
        <v>52</v>
      </c>
      <c r="M18" s="6" t="s">
        <v>89</v>
      </c>
      <c r="N18" s="7">
        <v>46049.58394675926</v>
      </c>
      <c r="O18" s="12">
        <f>INT(Table1[[#This Row],[sys_created_on]])</f>
        <v>46042</v>
      </c>
    </row>
    <row r="19" spans="1:15" x14ac:dyDescent="0.35">
      <c r="A19" s="6" t="s">
        <v>90</v>
      </c>
      <c r="B19" s="6" t="s">
        <v>14</v>
      </c>
      <c r="C19" s="6" t="s">
        <v>15</v>
      </c>
      <c r="D19" s="7">
        <v>46042.552337962959</v>
      </c>
      <c r="E19" s="6" t="s">
        <v>610</v>
      </c>
      <c r="F19" s="6" t="s">
        <v>49</v>
      </c>
      <c r="G19" s="6" t="s">
        <v>50</v>
      </c>
      <c r="H19" s="6" t="s">
        <v>91</v>
      </c>
      <c r="I19" s="7">
        <v>46052.333414351851</v>
      </c>
      <c r="J19" s="7">
        <v>46045.310995370368</v>
      </c>
      <c r="K19" s="6" t="s">
        <v>50</v>
      </c>
      <c r="L19" s="6" t="s">
        <v>33</v>
      </c>
      <c r="M19" s="6" t="s">
        <v>92</v>
      </c>
      <c r="N19" s="7">
        <v>46052.333414351851</v>
      </c>
      <c r="O19" s="12">
        <f>INT(Table1[[#This Row],[sys_created_on]])</f>
        <v>46042</v>
      </c>
    </row>
    <row r="20" spans="1:15" x14ac:dyDescent="0.35">
      <c r="A20" s="6" t="s">
        <v>93</v>
      </c>
      <c r="B20" s="6" t="s">
        <v>14</v>
      </c>
      <c r="C20" s="6" t="s">
        <v>15</v>
      </c>
      <c r="D20" s="7">
        <v>46050.256377314814</v>
      </c>
      <c r="E20" s="6" t="s">
        <v>608</v>
      </c>
      <c r="F20" s="6" t="s">
        <v>16</v>
      </c>
      <c r="G20" s="6" t="s">
        <v>19</v>
      </c>
      <c r="H20" s="6" t="s">
        <v>94</v>
      </c>
      <c r="I20" s="7">
        <v>46057.417002314818</v>
      </c>
      <c r="J20" s="7">
        <v>46050.401655092595</v>
      </c>
      <c r="K20" s="6" t="s">
        <v>19</v>
      </c>
      <c r="L20" s="6" t="s">
        <v>20</v>
      </c>
      <c r="M20" s="6" t="s">
        <v>95</v>
      </c>
      <c r="N20" s="7">
        <v>46057.417002314818</v>
      </c>
      <c r="O20" s="12">
        <f>INT(Table1[[#This Row],[sys_created_on]])</f>
        <v>46050</v>
      </c>
    </row>
    <row r="21" spans="1:15" x14ac:dyDescent="0.35">
      <c r="A21" s="6" t="s">
        <v>96</v>
      </c>
      <c r="B21" s="6" t="s">
        <v>14</v>
      </c>
      <c r="C21" s="6" t="s">
        <v>15</v>
      </c>
      <c r="D21" s="7">
        <v>46050.648240740738</v>
      </c>
      <c r="E21" s="6" t="s">
        <v>608</v>
      </c>
      <c r="F21" s="6" t="s">
        <v>16</v>
      </c>
      <c r="G21" s="6" t="s">
        <v>97</v>
      </c>
      <c r="H21" s="6" t="s">
        <v>98</v>
      </c>
      <c r="I21" s="7">
        <v>46058.583796296298</v>
      </c>
      <c r="J21" s="7">
        <v>46051.550844907404</v>
      </c>
      <c r="K21" s="6" t="s">
        <v>97</v>
      </c>
      <c r="L21" s="6" t="s">
        <v>20</v>
      </c>
      <c r="M21" s="6" t="s">
        <v>99</v>
      </c>
      <c r="N21" s="7">
        <v>46058.583796296298</v>
      </c>
      <c r="O21" s="12">
        <f>INT(Table1[[#This Row],[sys_created_on]])</f>
        <v>46050</v>
      </c>
    </row>
    <row r="22" spans="1:15" x14ac:dyDescent="0.35">
      <c r="A22" s="6" t="s">
        <v>100</v>
      </c>
      <c r="B22" s="6" t="s">
        <v>14</v>
      </c>
      <c r="C22" s="6" t="s">
        <v>23</v>
      </c>
      <c r="D22" s="7">
        <v>46050.672280092593</v>
      </c>
      <c r="E22" s="6" t="s">
        <v>608</v>
      </c>
      <c r="F22" s="6" t="s">
        <v>16</v>
      </c>
      <c r="G22" s="6" t="s">
        <v>71</v>
      </c>
      <c r="H22" s="6" t="s">
        <v>101</v>
      </c>
      <c r="I22" s="7">
        <v>46057.750034722223</v>
      </c>
      <c r="J22" s="7">
        <v>46050.740613425929</v>
      </c>
      <c r="K22" s="6" t="s">
        <v>71</v>
      </c>
      <c r="L22" s="6" t="s">
        <v>20</v>
      </c>
      <c r="M22" s="6" t="s">
        <v>102</v>
      </c>
      <c r="N22" s="7">
        <v>46057.750034722223</v>
      </c>
      <c r="O22" s="12">
        <f>INT(Table1[[#This Row],[sys_created_on]])</f>
        <v>46050</v>
      </c>
    </row>
    <row r="23" spans="1:15" x14ac:dyDescent="0.35">
      <c r="A23" s="6" t="s">
        <v>103</v>
      </c>
      <c r="B23" s="6" t="s">
        <v>14</v>
      </c>
      <c r="C23" s="6" t="s">
        <v>15</v>
      </c>
      <c r="D23" s="7">
        <v>46051.226585648146</v>
      </c>
      <c r="E23" s="6" t="s">
        <v>608</v>
      </c>
      <c r="F23" s="6" t="s">
        <v>16</v>
      </c>
      <c r="G23" s="6" t="s">
        <v>19</v>
      </c>
      <c r="H23" s="6" t="s">
        <v>104</v>
      </c>
      <c r="I23" s="7">
        <v>46058.375833333332</v>
      </c>
      <c r="J23" s="7">
        <v>46051.352650462963</v>
      </c>
      <c r="K23" s="6" t="s">
        <v>19</v>
      </c>
      <c r="L23" s="6" t="s">
        <v>20</v>
      </c>
      <c r="M23" s="6" t="s">
        <v>105</v>
      </c>
      <c r="N23" s="7">
        <v>46058.375833333332</v>
      </c>
      <c r="O23" s="12">
        <f>INT(Table1[[#This Row],[sys_created_on]])</f>
        <v>46051</v>
      </c>
    </row>
    <row r="24" spans="1:15" x14ac:dyDescent="0.35">
      <c r="A24" s="6" t="s">
        <v>106</v>
      </c>
      <c r="B24" s="6" t="s">
        <v>14</v>
      </c>
      <c r="C24" s="6" t="s">
        <v>15</v>
      </c>
      <c r="D24" s="7">
        <v>46051.381898148145</v>
      </c>
      <c r="E24" s="6" t="s">
        <v>618</v>
      </c>
      <c r="F24" s="6" t="s">
        <v>40</v>
      </c>
      <c r="G24" s="6" t="s">
        <v>107</v>
      </c>
      <c r="H24" s="6" t="s">
        <v>108</v>
      </c>
      <c r="I24" s="7">
        <v>46059.862673611111</v>
      </c>
      <c r="J24" s="7">
        <v>46051.55327546296</v>
      </c>
      <c r="K24" s="6" t="s">
        <v>107</v>
      </c>
      <c r="L24" s="6" t="s">
        <v>109</v>
      </c>
      <c r="M24" s="6" t="s">
        <v>110</v>
      </c>
      <c r="N24" s="7">
        <v>46058.583553240744</v>
      </c>
      <c r="O24" s="12">
        <f>INT(Table1[[#This Row],[sys_created_on]])</f>
        <v>46051</v>
      </c>
    </row>
    <row r="25" spans="1:15" x14ac:dyDescent="0.35">
      <c r="A25" s="6" t="s">
        <v>111</v>
      </c>
      <c r="B25" s="6" t="s">
        <v>14</v>
      </c>
      <c r="C25" s="6" t="s">
        <v>15</v>
      </c>
      <c r="D25" s="7">
        <v>46051.452268518522</v>
      </c>
      <c r="E25" s="6" t="s">
        <v>608</v>
      </c>
      <c r="F25" s="6" t="s">
        <v>16</v>
      </c>
      <c r="G25" s="6" t="s">
        <v>97</v>
      </c>
      <c r="H25" s="6" t="s">
        <v>112</v>
      </c>
      <c r="I25" s="7">
        <v>46059.875879629632</v>
      </c>
      <c r="J25" s="7">
        <v>46052.41982638889</v>
      </c>
      <c r="K25" s="6" t="s">
        <v>113</v>
      </c>
      <c r="L25" s="6" t="s">
        <v>114</v>
      </c>
      <c r="M25" s="6" t="s">
        <v>115</v>
      </c>
      <c r="N25" s="7">
        <v>46059.459085648145</v>
      </c>
      <c r="O25" s="12">
        <f>INT(Table1[[#This Row],[sys_created_on]])</f>
        <v>46051</v>
      </c>
    </row>
    <row r="26" spans="1:15" x14ac:dyDescent="0.35">
      <c r="A26" s="6" t="s">
        <v>116</v>
      </c>
      <c r="B26" s="6" t="s">
        <v>14</v>
      </c>
      <c r="C26" s="6" t="s">
        <v>15</v>
      </c>
      <c r="D26" s="7">
        <v>46051.46770833333</v>
      </c>
      <c r="E26" s="6" t="s">
        <v>608</v>
      </c>
      <c r="F26" s="6" t="s">
        <v>16</v>
      </c>
      <c r="G26" s="6" t="s">
        <v>97</v>
      </c>
      <c r="H26" s="6" t="s">
        <v>117</v>
      </c>
      <c r="I26" s="7">
        <v>46063.541990740741</v>
      </c>
      <c r="J26" s="7">
        <v>46056.528541666667</v>
      </c>
      <c r="K26" s="6" t="s">
        <v>97</v>
      </c>
      <c r="L26" s="6" t="s">
        <v>114</v>
      </c>
      <c r="M26" s="6" t="s">
        <v>118</v>
      </c>
      <c r="N26" s="7">
        <v>46063.541990740741</v>
      </c>
      <c r="O26" s="12">
        <f>INT(Table1[[#This Row],[sys_created_on]])</f>
        <v>46051</v>
      </c>
    </row>
    <row r="27" spans="1:15" x14ac:dyDescent="0.35">
      <c r="A27" s="6" t="s">
        <v>119</v>
      </c>
      <c r="B27" s="6" t="s">
        <v>14</v>
      </c>
      <c r="C27" s="6" t="s">
        <v>15</v>
      </c>
      <c r="D27" s="7">
        <v>46057.145486111112</v>
      </c>
      <c r="E27" s="6" t="s">
        <v>619</v>
      </c>
      <c r="F27" s="6" t="s">
        <v>40</v>
      </c>
      <c r="G27" s="6" t="s">
        <v>120</v>
      </c>
      <c r="H27" s="6" t="s">
        <v>121</v>
      </c>
      <c r="I27" s="7">
        <v>46070.500254629631</v>
      </c>
      <c r="J27" s="7">
        <v>46063.492951388886</v>
      </c>
      <c r="K27" s="6" t="s">
        <v>41</v>
      </c>
      <c r="L27" s="6" t="s">
        <v>114</v>
      </c>
      <c r="M27" s="6" t="s">
        <v>122</v>
      </c>
      <c r="N27" s="7">
        <v>46070.500254629631</v>
      </c>
      <c r="O27" s="12">
        <f>INT(Table1[[#This Row],[sys_created_on]])</f>
        <v>46057</v>
      </c>
    </row>
    <row r="28" spans="1:15" x14ac:dyDescent="0.35">
      <c r="A28" s="6" t="s">
        <v>123</v>
      </c>
      <c r="B28" s="6" t="s">
        <v>14</v>
      </c>
      <c r="C28" s="6" t="s">
        <v>15</v>
      </c>
      <c r="D28" s="7">
        <v>46058.682604166665</v>
      </c>
      <c r="E28" s="6" t="s">
        <v>615</v>
      </c>
      <c r="F28" s="6" t="s">
        <v>16</v>
      </c>
      <c r="G28" s="6" t="s">
        <v>71</v>
      </c>
      <c r="H28" s="6" t="s">
        <v>124</v>
      </c>
      <c r="I28" s="7">
        <v>46066.666851851849</v>
      </c>
      <c r="J28" s="7">
        <v>46059.650567129633</v>
      </c>
      <c r="K28" s="6" t="s">
        <v>97</v>
      </c>
      <c r="L28" s="6" t="s">
        <v>125</v>
      </c>
      <c r="M28" s="6" t="s">
        <v>126</v>
      </c>
      <c r="N28" s="7">
        <v>46066.666851851849</v>
      </c>
      <c r="O28" s="12">
        <f>INT(Table1[[#This Row],[sys_created_on]])</f>
        <v>46058</v>
      </c>
    </row>
    <row r="29" spans="1:15" x14ac:dyDescent="0.35">
      <c r="A29" s="6" t="s">
        <v>127</v>
      </c>
      <c r="B29" s="6" t="s">
        <v>14</v>
      </c>
      <c r="C29" s="6" t="s">
        <v>15</v>
      </c>
      <c r="D29" s="7">
        <v>46062.598437499997</v>
      </c>
      <c r="E29" s="6" t="s">
        <v>618</v>
      </c>
      <c r="F29" s="6" t="s">
        <v>40</v>
      </c>
      <c r="G29" s="6" t="s">
        <v>56</v>
      </c>
      <c r="H29" s="6" t="s">
        <v>128</v>
      </c>
      <c r="I29" s="7">
        <v>46071.375671296293</v>
      </c>
      <c r="J29" s="7">
        <v>46064.370335648149</v>
      </c>
      <c r="K29" s="6" t="s">
        <v>56</v>
      </c>
      <c r="L29" s="6" t="s">
        <v>20</v>
      </c>
      <c r="M29" s="6" t="s">
        <v>129</v>
      </c>
      <c r="N29" s="7">
        <v>46071.375659722224</v>
      </c>
      <c r="O29" s="12">
        <f>INT(Table1[[#This Row],[sys_created_on]])</f>
        <v>46062</v>
      </c>
    </row>
    <row r="30" spans="1:15" x14ac:dyDescent="0.35">
      <c r="A30" s="6" t="s">
        <v>130</v>
      </c>
      <c r="B30" s="6" t="s">
        <v>14</v>
      </c>
      <c r="C30" s="6" t="s">
        <v>15</v>
      </c>
      <c r="D30" s="7">
        <v>46062.706793981481</v>
      </c>
      <c r="E30" s="6" t="s">
        <v>618</v>
      </c>
      <c r="F30" s="6" t="s">
        <v>40</v>
      </c>
      <c r="G30" s="6" t="s">
        <v>131</v>
      </c>
      <c r="H30" s="6" t="s">
        <v>132</v>
      </c>
      <c r="I30" s="7">
        <v>46072.459317129629</v>
      </c>
      <c r="J30" s="7">
        <v>46065.428206018521</v>
      </c>
      <c r="K30" s="6" t="s">
        <v>107</v>
      </c>
      <c r="L30" s="6" t="s">
        <v>109</v>
      </c>
      <c r="M30" s="6" t="s">
        <v>133</v>
      </c>
      <c r="N30" s="7">
        <v>46072.459247685183</v>
      </c>
      <c r="O30" s="12">
        <f>INT(Table1[[#This Row],[sys_created_on]])</f>
        <v>46062</v>
      </c>
    </row>
    <row r="31" spans="1:15" x14ac:dyDescent="0.35">
      <c r="A31" s="6" t="s">
        <v>134</v>
      </c>
      <c r="B31" s="6" t="s">
        <v>14</v>
      </c>
      <c r="C31" s="6" t="s">
        <v>23</v>
      </c>
      <c r="D31" s="7">
        <v>46064.528645833336</v>
      </c>
      <c r="E31" s="6" t="s">
        <v>610</v>
      </c>
      <c r="F31" s="6" t="s">
        <v>49</v>
      </c>
      <c r="G31" s="6" t="s">
        <v>135</v>
      </c>
      <c r="H31" s="6" t="s">
        <v>136</v>
      </c>
      <c r="I31" s="7">
        <v>46076.500300925924</v>
      </c>
      <c r="J31" s="7">
        <v>46069.46675925926</v>
      </c>
      <c r="K31" s="6" t="s">
        <v>135</v>
      </c>
      <c r="L31" s="6" t="s">
        <v>137</v>
      </c>
      <c r="M31" s="6" t="s">
        <v>138</v>
      </c>
      <c r="N31" s="7">
        <v>46076.500300925924</v>
      </c>
      <c r="O31" s="12">
        <f>INT(Table1[[#This Row],[sys_created_on]])</f>
        <v>46064</v>
      </c>
    </row>
    <row r="32" spans="1:15" x14ac:dyDescent="0.35">
      <c r="A32" s="6" t="s">
        <v>139</v>
      </c>
      <c r="B32" s="6" t="s">
        <v>14</v>
      </c>
      <c r="C32" s="6" t="s">
        <v>55</v>
      </c>
      <c r="D32" s="7">
        <v>46065.582418981481</v>
      </c>
      <c r="E32" s="6" t="s">
        <v>614</v>
      </c>
      <c r="F32" s="6" t="s">
        <v>40</v>
      </c>
      <c r="G32" s="6" t="s">
        <v>140</v>
      </c>
      <c r="H32" s="6" t="s">
        <v>68</v>
      </c>
      <c r="I32" s="7">
        <v>46072.625034722223</v>
      </c>
      <c r="J32" s="7">
        <v>46065.583391203705</v>
      </c>
      <c r="K32" s="6" t="s">
        <v>58</v>
      </c>
      <c r="L32" s="6" t="s">
        <v>43</v>
      </c>
      <c r="M32" s="6" t="s">
        <v>141</v>
      </c>
      <c r="N32" s="7">
        <v>46072.625034722223</v>
      </c>
      <c r="O32" s="12">
        <f>INT(Table1[[#This Row],[sys_created_on]])</f>
        <v>46065</v>
      </c>
    </row>
    <row r="33" spans="1:15" x14ac:dyDescent="0.35">
      <c r="A33" s="6" t="s">
        <v>142</v>
      </c>
      <c r="B33" s="6" t="s">
        <v>14</v>
      </c>
      <c r="C33" s="6" t="s">
        <v>15</v>
      </c>
      <c r="D33" s="7">
        <v>46066.525231481479</v>
      </c>
      <c r="E33" s="6" t="s">
        <v>620</v>
      </c>
      <c r="F33" s="6" t="s">
        <v>16</v>
      </c>
      <c r="G33" s="6" t="s">
        <v>97</v>
      </c>
      <c r="H33" s="6" t="s">
        <v>143</v>
      </c>
      <c r="I33" s="7">
        <v>46076.54173611111</v>
      </c>
      <c r="J33" s="7">
        <v>46069.512662037036</v>
      </c>
      <c r="K33" s="6" t="s">
        <v>97</v>
      </c>
      <c r="L33" s="6" t="s">
        <v>20</v>
      </c>
      <c r="M33" s="6" t="s">
        <v>144</v>
      </c>
      <c r="N33" s="7">
        <v>46076.54173611111</v>
      </c>
      <c r="O33" s="12">
        <f>INT(Table1[[#This Row],[sys_created_on]])</f>
        <v>46066</v>
      </c>
    </row>
    <row r="34" spans="1:15" x14ac:dyDescent="0.35">
      <c r="A34" s="6" t="s">
        <v>145</v>
      </c>
      <c r="B34" s="6" t="s">
        <v>14</v>
      </c>
      <c r="C34" s="6" t="s">
        <v>15</v>
      </c>
      <c r="D34" s="7">
        <v>46069.306458333333</v>
      </c>
      <c r="E34" s="6" t="s">
        <v>610</v>
      </c>
      <c r="F34" s="6" t="s">
        <v>49</v>
      </c>
      <c r="G34" s="6" t="s">
        <v>146</v>
      </c>
      <c r="H34" s="6" t="s">
        <v>147</v>
      </c>
      <c r="I34" s="7">
        <v>46077.292037037034</v>
      </c>
      <c r="J34" s="7">
        <v>46070.256539351853</v>
      </c>
      <c r="K34" s="6" t="s">
        <v>146</v>
      </c>
      <c r="L34" s="6" t="s">
        <v>52</v>
      </c>
      <c r="M34" s="6" t="s">
        <v>148</v>
      </c>
      <c r="N34" s="7">
        <v>46077.292037037034</v>
      </c>
      <c r="O34" s="12">
        <f>INT(Table1[[#This Row],[sys_created_on]])</f>
        <v>46069</v>
      </c>
    </row>
    <row r="35" spans="1:15" x14ac:dyDescent="0.35">
      <c r="A35" s="6" t="s">
        <v>149</v>
      </c>
      <c r="B35" s="6" t="s">
        <v>14</v>
      </c>
      <c r="C35" s="6" t="s">
        <v>55</v>
      </c>
      <c r="D35" s="7">
        <v>46069.400289351855</v>
      </c>
      <c r="E35" s="6" t="s">
        <v>621</v>
      </c>
      <c r="F35" s="6" t="s">
        <v>16</v>
      </c>
      <c r="G35" s="6" t="s">
        <v>150</v>
      </c>
      <c r="H35" s="6" t="s">
        <v>151</v>
      </c>
      <c r="I35" s="7">
        <v>46076.458495370367</v>
      </c>
      <c r="J35" s="7">
        <v>46069.418506944443</v>
      </c>
      <c r="K35" s="6"/>
      <c r="L35" s="6" t="s">
        <v>43</v>
      </c>
      <c r="M35" s="6" t="s">
        <v>152</v>
      </c>
      <c r="N35" s="7">
        <v>46076.458495370367</v>
      </c>
      <c r="O35" s="12">
        <f>INT(Table1[[#This Row],[sys_created_on]])</f>
        <v>46069</v>
      </c>
    </row>
    <row r="36" spans="1:15" x14ac:dyDescent="0.35">
      <c r="A36" s="6" t="s">
        <v>153</v>
      </c>
      <c r="B36" s="6" t="s">
        <v>14</v>
      </c>
      <c r="C36" s="6" t="s">
        <v>55</v>
      </c>
      <c r="D36" s="7">
        <v>46070.474849537037</v>
      </c>
      <c r="E36" s="6" t="s">
        <v>613</v>
      </c>
      <c r="F36" s="6" t="s">
        <v>40</v>
      </c>
      <c r="G36" s="6" t="s">
        <v>64</v>
      </c>
      <c r="H36" s="6" t="s">
        <v>65</v>
      </c>
      <c r="I36" s="7">
        <v>46077.500543981485</v>
      </c>
      <c r="J36" s="7">
        <v>46070.481412037036</v>
      </c>
      <c r="K36" s="6"/>
      <c r="L36" s="6" t="s">
        <v>43</v>
      </c>
      <c r="M36" s="6" t="s">
        <v>154</v>
      </c>
      <c r="N36" s="7">
        <v>46077.500543981485</v>
      </c>
      <c r="O36" s="12">
        <f>INT(Table1[[#This Row],[sys_created_on]])</f>
        <v>46070</v>
      </c>
    </row>
    <row r="37" spans="1:15" x14ac:dyDescent="0.35">
      <c r="A37" s="6" t="s">
        <v>155</v>
      </c>
      <c r="B37" s="6" t="s">
        <v>14</v>
      </c>
      <c r="C37" s="6" t="s">
        <v>15</v>
      </c>
      <c r="D37" s="7">
        <v>46072.533171296294</v>
      </c>
      <c r="E37" s="6" t="s">
        <v>618</v>
      </c>
      <c r="F37" s="6" t="s">
        <v>40</v>
      </c>
      <c r="G37" s="6" t="s">
        <v>107</v>
      </c>
      <c r="H37" s="6" t="s">
        <v>156</v>
      </c>
      <c r="I37" s="7">
        <v>46100.458993055552</v>
      </c>
      <c r="J37" s="7">
        <v>46093.421747685185</v>
      </c>
      <c r="K37" s="6" t="s">
        <v>107</v>
      </c>
      <c r="L37" s="6" t="s">
        <v>109</v>
      </c>
      <c r="M37" s="6" t="s">
        <v>157</v>
      </c>
      <c r="N37" s="7">
        <v>46100.458981481483</v>
      </c>
      <c r="O37" s="12">
        <f>INT(Table1[[#This Row],[sys_created_on]])</f>
        <v>46072</v>
      </c>
    </row>
    <row r="38" spans="1:15" x14ac:dyDescent="0.35">
      <c r="A38" s="6" t="s">
        <v>158</v>
      </c>
      <c r="B38" s="6" t="s">
        <v>14</v>
      </c>
      <c r="C38" s="6" t="s">
        <v>23</v>
      </c>
      <c r="D38" s="7">
        <v>46072.535925925928</v>
      </c>
      <c r="E38" s="6" t="s">
        <v>619</v>
      </c>
      <c r="F38" s="6" t="s">
        <v>40</v>
      </c>
      <c r="G38" s="6" t="s">
        <v>64</v>
      </c>
      <c r="H38" s="6" t="s">
        <v>159</v>
      </c>
      <c r="I38" s="7">
        <v>46083.458912037036</v>
      </c>
      <c r="J38" s="7">
        <v>46076.423692129632</v>
      </c>
      <c r="K38" s="6" t="s">
        <v>64</v>
      </c>
      <c r="L38" s="6" t="s">
        <v>137</v>
      </c>
      <c r="M38" s="6" t="s">
        <v>160</v>
      </c>
      <c r="N38" s="7">
        <v>46083.458912037036</v>
      </c>
      <c r="O38" s="12">
        <f>INT(Table1[[#This Row],[sys_created_on]])</f>
        <v>46072</v>
      </c>
    </row>
    <row r="39" spans="1:15" x14ac:dyDescent="0.35">
      <c r="A39" s="6" t="s">
        <v>161</v>
      </c>
      <c r="B39" s="6" t="s">
        <v>14</v>
      </c>
      <c r="C39" s="6" t="s">
        <v>55</v>
      </c>
      <c r="D39" s="7">
        <v>46077.408009259256</v>
      </c>
      <c r="E39" s="6" t="s">
        <v>613</v>
      </c>
      <c r="F39" s="6" t="s">
        <v>40</v>
      </c>
      <c r="G39" s="6" t="s">
        <v>56</v>
      </c>
      <c r="H39" s="6" t="s">
        <v>65</v>
      </c>
      <c r="I39" s="7">
        <v>46084.416932870372</v>
      </c>
      <c r="J39" s="7">
        <v>46077.408576388887</v>
      </c>
      <c r="K39" s="6" t="s">
        <v>56</v>
      </c>
      <c r="L39" s="6" t="s">
        <v>43</v>
      </c>
      <c r="M39" s="6" t="s">
        <v>162</v>
      </c>
      <c r="N39" s="7">
        <v>46084.416932870372</v>
      </c>
      <c r="O39" s="12">
        <f>INT(Table1[[#This Row],[sys_created_on]])</f>
        <v>46077</v>
      </c>
    </row>
    <row r="40" spans="1:15" x14ac:dyDescent="0.35">
      <c r="A40" s="6" t="s">
        <v>163</v>
      </c>
      <c r="B40" s="6" t="s">
        <v>14</v>
      </c>
      <c r="C40" s="6" t="s">
        <v>23</v>
      </c>
      <c r="D40" s="7">
        <v>46078.62164351852</v>
      </c>
      <c r="E40" s="6" t="s">
        <v>608</v>
      </c>
      <c r="F40" s="6" t="s">
        <v>16</v>
      </c>
      <c r="G40" s="6" t="s">
        <v>32</v>
      </c>
      <c r="H40" s="6" t="s">
        <v>164</v>
      </c>
      <c r="I40" s="7">
        <v>46086.417800925927</v>
      </c>
      <c r="J40" s="7">
        <v>46079.411747685182</v>
      </c>
      <c r="K40" s="6" t="s">
        <v>97</v>
      </c>
      <c r="L40" s="6" t="s">
        <v>20</v>
      </c>
      <c r="M40" s="6" t="s">
        <v>165</v>
      </c>
      <c r="N40" s="7">
        <v>46086.417800925927</v>
      </c>
      <c r="O40" s="12">
        <f>INT(Table1[[#This Row],[sys_created_on]])</f>
        <v>46078</v>
      </c>
    </row>
    <row r="41" spans="1:15" x14ac:dyDescent="0.35">
      <c r="A41" s="6" t="s">
        <v>166</v>
      </c>
      <c r="B41" s="6" t="s">
        <v>14</v>
      </c>
      <c r="C41" s="6" t="s">
        <v>55</v>
      </c>
      <c r="D41" s="7">
        <v>46078.775902777779</v>
      </c>
      <c r="E41" s="6" t="s">
        <v>618</v>
      </c>
      <c r="F41" s="6" t="s">
        <v>40</v>
      </c>
      <c r="G41" s="6" t="s">
        <v>140</v>
      </c>
      <c r="H41" s="6" t="s">
        <v>167</v>
      </c>
      <c r="I41" s="7">
        <v>46085.791944444441</v>
      </c>
      <c r="J41" s="7">
        <v>46078.778067129628</v>
      </c>
      <c r="K41" s="6" t="s">
        <v>58</v>
      </c>
      <c r="L41" s="6" t="s">
        <v>43</v>
      </c>
      <c r="M41" s="6" t="s">
        <v>168</v>
      </c>
      <c r="N41" s="7">
        <v>46085.791944444441</v>
      </c>
      <c r="O41" s="12">
        <f>INT(Table1[[#This Row],[sys_created_on]])</f>
        <v>46078</v>
      </c>
    </row>
    <row r="42" spans="1:15" x14ac:dyDescent="0.35">
      <c r="A42" s="6" t="s">
        <v>169</v>
      </c>
      <c r="B42" s="6" t="s">
        <v>14</v>
      </c>
      <c r="C42" s="6" t="s">
        <v>15</v>
      </c>
      <c r="D42" s="7">
        <v>46079.898379629631</v>
      </c>
      <c r="E42" s="6" t="s">
        <v>622</v>
      </c>
      <c r="F42" s="6" t="s">
        <v>16</v>
      </c>
      <c r="G42" s="6" t="s">
        <v>71</v>
      </c>
      <c r="H42" s="6" t="s">
        <v>170</v>
      </c>
      <c r="I42" s="7">
        <v>46090.75037037037</v>
      </c>
      <c r="J42" s="7">
        <v>46083.740532407406</v>
      </c>
      <c r="K42" s="6" t="s">
        <v>71</v>
      </c>
      <c r="L42" s="6" t="s">
        <v>20</v>
      </c>
      <c r="M42" s="6" t="s">
        <v>171</v>
      </c>
      <c r="N42" s="7">
        <v>46090.75037037037</v>
      </c>
      <c r="O42" s="12">
        <f>INT(Table1[[#This Row],[sys_created_on]])</f>
        <v>46079</v>
      </c>
    </row>
    <row r="43" spans="1:15" x14ac:dyDescent="0.35">
      <c r="A43" s="6" t="s">
        <v>172</v>
      </c>
      <c r="B43" s="6" t="s">
        <v>14</v>
      </c>
      <c r="C43" s="6" t="s">
        <v>55</v>
      </c>
      <c r="D43" s="7">
        <v>46083.046527777777</v>
      </c>
      <c r="E43" s="6" t="s">
        <v>623</v>
      </c>
      <c r="F43" s="6" t="s">
        <v>16</v>
      </c>
      <c r="G43" s="6" t="s">
        <v>173</v>
      </c>
      <c r="H43" s="6" t="s">
        <v>174</v>
      </c>
      <c r="I43" s="7">
        <v>46090.083391203705</v>
      </c>
      <c r="J43" s="7">
        <v>46083.079409722224</v>
      </c>
      <c r="K43" s="6"/>
      <c r="L43" s="6" t="s">
        <v>43</v>
      </c>
      <c r="M43" s="6" t="s">
        <v>175</v>
      </c>
      <c r="N43" s="7">
        <v>46090.083391203705</v>
      </c>
      <c r="O43" s="12">
        <f>INT(Table1[[#This Row],[sys_created_on]])</f>
        <v>46083</v>
      </c>
    </row>
    <row r="44" spans="1:15" x14ac:dyDescent="0.35">
      <c r="A44" s="6" t="s">
        <v>176</v>
      </c>
      <c r="B44" s="6" t="s">
        <v>14</v>
      </c>
      <c r="C44" s="6" t="s">
        <v>15</v>
      </c>
      <c r="D44" s="7">
        <v>46083.621307870373</v>
      </c>
      <c r="E44" s="6" t="s">
        <v>608</v>
      </c>
      <c r="F44" s="6" t="s">
        <v>16</v>
      </c>
      <c r="G44" s="6" t="s">
        <v>32</v>
      </c>
      <c r="H44" s="6" t="s">
        <v>164</v>
      </c>
      <c r="I44" s="7">
        <v>46090.708379629628</v>
      </c>
      <c r="J44" s="7">
        <v>46083.678414351853</v>
      </c>
      <c r="K44" s="6" t="s">
        <v>32</v>
      </c>
      <c r="L44" s="6" t="s">
        <v>20</v>
      </c>
      <c r="M44" s="6" t="s">
        <v>177</v>
      </c>
      <c r="N44" s="7">
        <v>46090.708379629628</v>
      </c>
      <c r="O44" s="12">
        <f>INT(Table1[[#This Row],[sys_created_on]])</f>
        <v>46083</v>
      </c>
    </row>
    <row r="45" spans="1:15" x14ac:dyDescent="0.35">
      <c r="A45" s="6" t="s">
        <v>178</v>
      </c>
      <c r="B45" s="6" t="s">
        <v>14</v>
      </c>
      <c r="C45" s="6" t="s">
        <v>15</v>
      </c>
      <c r="D45" s="7">
        <v>46084.761493055557</v>
      </c>
      <c r="E45" s="6" t="s">
        <v>618</v>
      </c>
      <c r="F45" s="6" t="s">
        <v>16</v>
      </c>
      <c r="G45" s="6" t="s">
        <v>113</v>
      </c>
      <c r="H45" s="6" t="s">
        <v>179</v>
      </c>
      <c r="I45" s="7">
        <v>46093.417164351849</v>
      </c>
      <c r="J45" s="7">
        <v>46086.37877314815</v>
      </c>
      <c r="K45" s="6" t="s">
        <v>113</v>
      </c>
      <c r="L45" s="6" t="s">
        <v>125</v>
      </c>
      <c r="M45" s="6" t="s">
        <v>180</v>
      </c>
      <c r="N45" s="7">
        <v>46093.417164351849</v>
      </c>
      <c r="O45" s="12">
        <f>INT(Table1[[#This Row],[sys_created_on]])</f>
        <v>46084</v>
      </c>
    </row>
    <row r="46" spans="1:15" x14ac:dyDescent="0.35">
      <c r="A46" s="6" t="s">
        <v>181</v>
      </c>
      <c r="B46" s="6" t="s">
        <v>14</v>
      </c>
      <c r="C46" s="6" t="s">
        <v>15</v>
      </c>
      <c r="D46" s="7">
        <v>46086.355775462966</v>
      </c>
      <c r="E46" s="6" t="s">
        <v>607</v>
      </c>
      <c r="F46" s="6" t="s">
        <v>16</v>
      </c>
      <c r="G46" s="6" t="s">
        <v>32</v>
      </c>
      <c r="H46" s="6" t="s">
        <v>182</v>
      </c>
      <c r="I46" s="7">
        <v>46101.41710648148</v>
      </c>
      <c r="J46" s="7">
        <v>46094.399687500001</v>
      </c>
      <c r="K46" s="6" t="s">
        <v>32</v>
      </c>
      <c r="L46" s="6" t="s">
        <v>37</v>
      </c>
      <c r="M46" s="6" t="s">
        <v>183</v>
      </c>
      <c r="N46" s="7">
        <v>46101.41710648148</v>
      </c>
      <c r="O46" s="12">
        <f>INT(Table1[[#This Row],[sys_created_on]])</f>
        <v>46086</v>
      </c>
    </row>
    <row r="47" spans="1:15" x14ac:dyDescent="0.35">
      <c r="A47" s="6" t="s">
        <v>184</v>
      </c>
      <c r="B47" s="6" t="s">
        <v>14</v>
      </c>
      <c r="C47" s="6" t="s">
        <v>15</v>
      </c>
      <c r="D47" s="7">
        <v>46090.46429398148</v>
      </c>
      <c r="E47" s="6" t="s">
        <v>608</v>
      </c>
      <c r="F47" s="6" t="s">
        <v>16</v>
      </c>
      <c r="G47" s="6" t="s">
        <v>113</v>
      </c>
      <c r="H47" s="6" t="s">
        <v>185</v>
      </c>
      <c r="I47" s="7">
        <v>46097.500081018516</v>
      </c>
      <c r="J47" s="7">
        <v>46090.490636574075</v>
      </c>
      <c r="K47" s="6" t="s">
        <v>113</v>
      </c>
      <c r="L47" s="6" t="s">
        <v>186</v>
      </c>
      <c r="M47" s="6" t="s">
        <v>187</v>
      </c>
      <c r="N47" s="7">
        <v>46097.500081018516</v>
      </c>
      <c r="O47" s="12">
        <f>INT(Table1[[#This Row],[sys_created_on]])</f>
        <v>46090</v>
      </c>
    </row>
    <row r="48" spans="1:15" x14ac:dyDescent="0.35">
      <c r="A48" s="6" t="s">
        <v>188</v>
      </c>
      <c r="B48" s="6" t="s">
        <v>14</v>
      </c>
      <c r="C48" s="6" t="s">
        <v>15</v>
      </c>
      <c r="D48" s="7">
        <v>46091.690162037034</v>
      </c>
      <c r="E48" s="6" t="s">
        <v>618</v>
      </c>
      <c r="F48" s="6" t="s">
        <v>40</v>
      </c>
      <c r="G48" s="6" t="s">
        <v>41</v>
      </c>
      <c r="H48" s="6" t="s">
        <v>189</v>
      </c>
      <c r="I48" s="7">
        <v>46101.375555555554</v>
      </c>
      <c r="J48" s="7">
        <v>46094.373877314814</v>
      </c>
      <c r="K48" s="6" t="s">
        <v>41</v>
      </c>
      <c r="L48" s="6" t="s">
        <v>190</v>
      </c>
      <c r="M48" s="6" t="s">
        <v>191</v>
      </c>
      <c r="N48" s="7">
        <v>46101.375555555554</v>
      </c>
      <c r="O48" s="12">
        <f>INT(Table1[[#This Row],[sys_created_on]])</f>
        <v>46091</v>
      </c>
    </row>
    <row r="49" spans="1:15" x14ac:dyDescent="0.35">
      <c r="A49" s="6" t="s">
        <v>192</v>
      </c>
      <c r="B49" s="6" t="s">
        <v>14</v>
      </c>
      <c r="C49" s="6" t="s">
        <v>15</v>
      </c>
      <c r="D49" s="7">
        <v>46092.287870370368</v>
      </c>
      <c r="E49" s="6" t="s">
        <v>608</v>
      </c>
      <c r="F49" s="6" t="s">
        <v>16</v>
      </c>
      <c r="G49" s="6" t="s">
        <v>32</v>
      </c>
      <c r="H49" s="6" t="s">
        <v>193</v>
      </c>
      <c r="I49" s="7">
        <v>46099.333796296298</v>
      </c>
      <c r="J49" s="7">
        <v>46092.329618055555</v>
      </c>
      <c r="K49" s="6" t="s">
        <v>32</v>
      </c>
      <c r="L49" s="6" t="s">
        <v>186</v>
      </c>
      <c r="M49" s="6" t="s">
        <v>194</v>
      </c>
      <c r="N49" s="7">
        <v>46099.333796296298</v>
      </c>
      <c r="O49" s="12">
        <f>INT(Table1[[#This Row],[sys_created_on]])</f>
        <v>46092</v>
      </c>
    </row>
    <row r="50" spans="1:15" x14ac:dyDescent="0.35">
      <c r="A50" s="6" t="s">
        <v>195</v>
      </c>
      <c r="B50" s="6" t="s">
        <v>14</v>
      </c>
      <c r="C50" s="6" t="s">
        <v>15</v>
      </c>
      <c r="D50" s="7">
        <v>46092.288298611114</v>
      </c>
      <c r="E50" s="6" t="s">
        <v>608</v>
      </c>
      <c r="F50" s="6" t="s">
        <v>16</v>
      </c>
      <c r="G50" s="6" t="s">
        <v>32</v>
      </c>
      <c r="H50" s="6" t="s">
        <v>193</v>
      </c>
      <c r="I50" s="7">
        <v>46099.333599537036</v>
      </c>
      <c r="J50" s="7">
        <v>46092.329317129632</v>
      </c>
      <c r="K50" s="6" t="s">
        <v>32</v>
      </c>
      <c r="L50" s="6" t="s">
        <v>186</v>
      </c>
      <c r="M50" s="6" t="s">
        <v>194</v>
      </c>
      <c r="N50" s="7">
        <v>46099.333599537036</v>
      </c>
      <c r="O50" s="12">
        <f>INT(Table1[[#This Row],[sys_created_on]])</f>
        <v>46092</v>
      </c>
    </row>
    <row r="51" spans="1:15" x14ac:dyDescent="0.35">
      <c r="A51" s="6" t="s">
        <v>196</v>
      </c>
      <c r="B51" s="6" t="s">
        <v>14</v>
      </c>
      <c r="C51" s="6" t="s">
        <v>15</v>
      </c>
      <c r="D51" s="7">
        <v>46092.309236111112</v>
      </c>
      <c r="E51" s="6" t="s">
        <v>607</v>
      </c>
      <c r="F51" s="6" t="s">
        <v>16</v>
      </c>
      <c r="G51" s="6" t="s">
        <v>113</v>
      </c>
      <c r="H51" s="6" t="s">
        <v>197</v>
      </c>
      <c r="I51" s="7">
        <v>46100.417500000003</v>
      </c>
      <c r="J51" s="7">
        <v>46093.391736111109</v>
      </c>
      <c r="K51" s="6" t="s">
        <v>113</v>
      </c>
      <c r="L51" s="6" t="s">
        <v>33</v>
      </c>
      <c r="M51" s="6" t="s">
        <v>198</v>
      </c>
      <c r="N51" s="7">
        <v>46100.417500000003</v>
      </c>
      <c r="O51" s="12">
        <f>INT(Table1[[#This Row],[sys_created_on]])</f>
        <v>46092</v>
      </c>
    </row>
    <row r="52" spans="1:15" x14ac:dyDescent="0.35">
      <c r="A52" s="6" t="s">
        <v>199</v>
      </c>
      <c r="B52" s="6" t="s">
        <v>14</v>
      </c>
      <c r="C52" s="6" t="s">
        <v>15</v>
      </c>
      <c r="D52" s="7">
        <v>46092.413055555553</v>
      </c>
      <c r="E52" s="6" t="s">
        <v>624</v>
      </c>
      <c r="F52" s="6" t="s">
        <v>16</v>
      </c>
      <c r="G52" s="6" t="s">
        <v>97</v>
      </c>
      <c r="H52" s="6" t="s">
        <v>156</v>
      </c>
      <c r="I52" s="7">
        <v>46104.208437499998</v>
      </c>
      <c r="J52" s="7">
        <v>46097.207245370373</v>
      </c>
      <c r="K52" s="6" t="s">
        <v>97</v>
      </c>
      <c r="L52" s="6" t="s">
        <v>37</v>
      </c>
      <c r="M52" s="6" t="s">
        <v>200</v>
      </c>
      <c r="N52" s="7">
        <v>46104.208437499998</v>
      </c>
      <c r="O52" s="12">
        <f>INT(Table1[[#This Row],[sys_created_on]])</f>
        <v>46092</v>
      </c>
    </row>
    <row r="53" spans="1:15" x14ac:dyDescent="0.35">
      <c r="A53" s="6" t="s">
        <v>201</v>
      </c>
      <c r="B53" s="6" t="s">
        <v>14</v>
      </c>
      <c r="C53" s="6" t="s">
        <v>23</v>
      </c>
      <c r="D53" s="7">
        <v>46092.558356481481</v>
      </c>
      <c r="E53" s="6" t="s">
        <v>608</v>
      </c>
      <c r="F53" s="6" t="s">
        <v>16</v>
      </c>
      <c r="G53" s="6" t="s">
        <v>173</v>
      </c>
      <c r="H53" s="6" t="s">
        <v>202</v>
      </c>
      <c r="I53" s="7">
        <v>46104.041909722226</v>
      </c>
      <c r="J53" s="7">
        <v>46097.033032407409</v>
      </c>
      <c r="K53" s="6" t="s">
        <v>17</v>
      </c>
      <c r="L53" s="6" t="s">
        <v>20</v>
      </c>
      <c r="M53" s="6" t="s">
        <v>203</v>
      </c>
      <c r="N53" s="7">
        <v>46104.041909722226</v>
      </c>
      <c r="O53" s="12">
        <f>INT(Table1[[#This Row],[sys_created_on]])</f>
        <v>46092</v>
      </c>
    </row>
    <row r="54" spans="1:15" x14ac:dyDescent="0.35">
      <c r="A54" s="6" t="s">
        <v>204</v>
      </c>
      <c r="B54" s="6" t="s">
        <v>14</v>
      </c>
      <c r="C54" s="6" t="s">
        <v>15</v>
      </c>
      <c r="D54" s="7">
        <v>46093.330046296294</v>
      </c>
      <c r="E54" s="6" t="s">
        <v>613</v>
      </c>
      <c r="F54" s="6" t="s">
        <v>40</v>
      </c>
      <c r="G54" s="6" t="s">
        <v>41</v>
      </c>
      <c r="H54" s="6" t="s">
        <v>205</v>
      </c>
      <c r="I54" s="7">
        <v>46113.500324074077</v>
      </c>
      <c r="J54" s="7">
        <v>46106.464571759258</v>
      </c>
      <c r="K54" s="6" t="s">
        <v>41</v>
      </c>
      <c r="L54" s="6" t="s">
        <v>137</v>
      </c>
      <c r="M54" s="6" t="s">
        <v>206</v>
      </c>
      <c r="N54" s="7">
        <v>46113.500324074077</v>
      </c>
      <c r="O54" s="12">
        <f>INT(Table1[[#This Row],[sys_created_on]])</f>
        <v>46093</v>
      </c>
    </row>
    <row r="55" spans="1:15" x14ac:dyDescent="0.35">
      <c r="A55" s="6" t="s">
        <v>207</v>
      </c>
      <c r="B55" s="6" t="s">
        <v>14</v>
      </c>
      <c r="C55" s="6" t="s">
        <v>15</v>
      </c>
      <c r="D55" s="7">
        <v>46097.266886574071</v>
      </c>
      <c r="E55" s="6" t="s">
        <v>608</v>
      </c>
      <c r="F55" s="6" t="s">
        <v>16</v>
      </c>
      <c r="G55" s="6" t="s">
        <v>17</v>
      </c>
      <c r="H55" s="6" t="s">
        <v>208</v>
      </c>
      <c r="I55" s="7">
        <v>46104.292002314818</v>
      </c>
      <c r="J55" s="7">
        <v>46097.276006944441</v>
      </c>
      <c r="K55" s="6" t="s">
        <v>17</v>
      </c>
      <c r="L55" s="6" t="s">
        <v>20</v>
      </c>
      <c r="M55" s="6" t="s">
        <v>209</v>
      </c>
      <c r="N55" s="7">
        <v>46104.292002314818</v>
      </c>
      <c r="O55" s="12">
        <f>INT(Table1[[#This Row],[sys_created_on]])</f>
        <v>46097</v>
      </c>
    </row>
    <row r="56" spans="1:15" x14ac:dyDescent="0.35">
      <c r="A56" s="6" t="s">
        <v>210</v>
      </c>
      <c r="B56" s="6" t="s">
        <v>14</v>
      </c>
      <c r="C56" s="6" t="s">
        <v>15</v>
      </c>
      <c r="D56" s="7">
        <v>46097.485046296293</v>
      </c>
      <c r="E56" s="6" t="s">
        <v>608</v>
      </c>
      <c r="F56" s="6" t="s">
        <v>16</v>
      </c>
      <c r="G56" s="6" t="s">
        <v>97</v>
      </c>
      <c r="H56" s="6" t="s">
        <v>211</v>
      </c>
      <c r="I56" s="7">
        <v>46106.666770833333</v>
      </c>
      <c r="J56" s="7">
        <v>46099.634143518517</v>
      </c>
      <c r="K56" s="6" t="s">
        <v>97</v>
      </c>
      <c r="L56" s="6" t="s">
        <v>37</v>
      </c>
      <c r="M56" s="6" t="s">
        <v>212</v>
      </c>
      <c r="N56" s="7">
        <v>46106.666770833333</v>
      </c>
      <c r="O56" s="12">
        <f>INT(Table1[[#This Row],[sys_created_on]])</f>
        <v>46097</v>
      </c>
    </row>
    <row r="57" spans="1:15" x14ac:dyDescent="0.35">
      <c r="A57" s="6" t="s">
        <v>213</v>
      </c>
      <c r="B57" s="6" t="s">
        <v>14</v>
      </c>
      <c r="C57" s="6" t="s">
        <v>55</v>
      </c>
      <c r="D57" s="7">
        <v>46097.623171296298</v>
      </c>
      <c r="E57" s="6" t="s">
        <v>618</v>
      </c>
      <c r="F57" s="6" t="s">
        <v>40</v>
      </c>
      <c r="G57" s="6" t="s">
        <v>214</v>
      </c>
      <c r="H57" s="6" t="s">
        <v>215</v>
      </c>
      <c r="I57" s="7">
        <v>46105.375937500001</v>
      </c>
      <c r="J57" s="7">
        <v>46098.374502314815</v>
      </c>
      <c r="K57" s="6" t="s">
        <v>214</v>
      </c>
      <c r="L57" s="6" t="s">
        <v>109</v>
      </c>
      <c r="M57" s="6" t="s">
        <v>216</v>
      </c>
      <c r="N57" s="7">
        <v>46105.375937500001</v>
      </c>
      <c r="O57" s="12">
        <f>INT(Table1[[#This Row],[sys_created_on]])</f>
        <v>46097</v>
      </c>
    </row>
    <row r="58" spans="1:15" x14ac:dyDescent="0.35">
      <c r="A58" s="6" t="s">
        <v>217</v>
      </c>
      <c r="B58" s="6" t="s">
        <v>14</v>
      </c>
      <c r="C58" s="6" t="s">
        <v>23</v>
      </c>
      <c r="D58" s="7">
        <v>46097.639282407406</v>
      </c>
      <c r="E58" s="6" t="s">
        <v>619</v>
      </c>
      <c r="F58" s="6" t="s">
        <v>40</v>
      </c>
      <c r="G58" s="6" t="s">
        <v>107</v>
      </c>
      <c r="H58" s="6" t="s">
        <v>218</v>
      </c>
      <c r="I58" s="7">
        <v>46105.583483796298</v>
      </c>
      <c r="J58" s="7">
        <v>46098.54587962963</v>
      </c>
      <c r="K58" s="6" t="s">
        <v>107</v>
      </c>
      <c r="L58" s="6" t="s">
        <v>109</v>
      </c>
      <c r="M58" s="6" t="s">
        <v>219</v>
      </c>
      <c r="N58" s="7">
        <v>46105.583483796298</v>
      </c>
      <c r="O58" s="12">
        <f>INT(Table1[[#This Row],[sys_created_on]])</f>
        <v>46097</v>
      </c>
    </row>
    <row r="59" spans="1:15" x14ac:dyDescent="0.35">
      <c r="A59" s="6" t="s">
        <v>220</v>
      </c>
      <c r="B59" s="6" t="s">
        <v>14</v>
      </c>
      <c r="C59" s="6" t="s">
        <v>23</v>
      </c>
      <c r="D59" s="7">
        <v>46097.658715277779</v>
      </c>
      <c r="E59" s="6" t="s">
        <v>619</v>
      </c>
      <c r="F59" s="6" t="s">
        <v>40</v>
      </c>
      <c r="G59" s="6" t="s">
        <v>120</v>
      </c>
      <c r="H59" s="6" t="s">
        <v>221</v>
      </c>
      <c r="I59" s="7">
        <v>46105.708587962959</v>
      </c>
      <c r="J59" s="7">
        <v>46098.68650462963</v>
      </c>
      <c r="K59" s="6" t="s">
        <v>120</v>
      </c>
      <c r="L59" s="6" t="s">
        <v>109</v>
      </c>
      <c r="M59" s="6" t="s">
        <v>222</v>
      </c>
      <c r="N59" s="7">
        <v>46105.708587962959</v>
      </c>
      <c r="O59" s="12">
        <f>INT(Table1[[#This Row],[sys_created_on]])</f>
        <v>46097</v>
      </c>
    </row>
    <row r="60" spans="1:15" x14ac:dyDescent="0.35">
      <c r="A60" s="6" t="s">
        <v>223</v>
      </c>
      <c r="B60" s="6" t="s">
        <v>14</v>
      </c>
      <c r="C60" s="6" t="s">
        <v>23</v>
      </c>
      <c r="D60" s="7">
        <v>46098.019293981481</v>
      </c>
      <c r="E60" s="6" t="s">
        <v>618</v>
      </c>
      <c r="F60" s="6" t="s">
        <v>40</v>
      </c>
      <c r="G60" s="6" t="s">
        <v>214</v>
      </c>
      <c r="H60" s="6" t="s">
        <v>224</v>
      </c>
      <c r="I60" s="7">
        <v>46105.375798611109</v>
      </c>
      <c r="J60" s="7">
        <v>46098.374502314815</v>
      </c>
      <c r="K60" s="6" t="s">
        <v>214</v>
      </c>
      <c r="L60" s="6" t="s">
        <v>109</v>
      </c>
      <c r="M60" s="6" t="s">
        <v>216</v>
      </c>
      <c r="N60" s="7">
        <v>46105.375787037039</v>
      </c>
      <c r="O60" s="12">
        <f>INT(Table1[[#This Row],[sys_created_on]])</f>
        <v>46098</v>
      </c>
    </row>
    <row r="61" spans="1:15" x14ac:dyDescent="0.35">
      <c r="A61" s="6" t="s">
        <v>225</v>
      </c>
      <c r="B61" s="6" t="s">
        <v>14</v>
      </c>
      <c r="C61" s="6" t="s">
        <v>15</v>
      </c>
      <c r="D61" s="7">
        <v>46098.612928240742</v>
      </c>
      <c r="E61" s="6" t="s">
        <v>608</v>
      </c>
      <c r="F61" s="6" t="s">
        <v>16</v>
      </c>
      <c r="G61" s="6" t="s">
        <v>97</v>
      </c>
      <c r="H61" s="6" t="s">
        <v>226</v>
      </c>
      <c r="I61" s="7">
        <v>46106.541967592595</v>
      </c>
      <c r="J61" s="7">
        <v>46099.504884259259</v>
      </c>
      <c r="K61" s="6" t="s">
        <v>97</v>
      </c>
      <c r="L61" s="6" t="s">
        <v>37</v>
      </c>
      <c r="M61" s="6" t="s">
        <v>227</v>
      </c>
      <c r="N61" s="7">
        <v>46106.541967592595</v>
      </c>
      <c r="O61" s="12">
        <f>INT(Table1[[#This Row],[sys_created_on]])</f>
        <v>46098</v>
      </c>
    </row>
    <row r="62" spans="1:15" x14ac:dyDescent="0.35">
      <c r="A62" s="6" t="s">
        <v>228</v>
      </c>
      <c r="B62" s="6" t="s">
        <v>14</v>
      </c>
      <c r="C62" s="6" t="s">
        <v>15</v>
      </c>
      <c r="D62" s="7">
        <v>46099.159745370373</v>
      </c>
      <c r="E62" s="6" t="s">
        <v>608</v>
      </c>
      <c r="F62" s="6" t="s">
        <v>16</v>
      </c>
      <c r="G62" s="6" t="s">
        <v>97</v>
      </c>
      <c r="H62" s="6" t="s">
        <v>229</v>
      </c>
      <c r="I62" s="7">
        <v>46120.542268518519</v>
      </c>
      <c r="J62" s="7">
        <v>46113.53601851852</v>
      </c>
      <c r="K62" s="6" t="s">
        <v>97</v>
      </c>
      <c r="L62" s="6" t="s">
        <v>37</v>
      </c>
      <c r="M62" s="6" t="s">
        <v>230</v>
      </c>
      <c r="N62" s="7">
        <v>46120.542268518519</v>
      </c>
      <c r="O62" s="12">
        <f>INT(Table1[[#This Row],[sys_created_on]])</f>
        <v>46099</v>
      </c>
    </row>
    <row r="63" spans="1:15" x14ac:dyDescent="0.35">
      <c r="A63" s="6" t="s">
        <v>231</v>
      </c>
      <c r="B63" s="6" t="s">
        <v>14</v>
      </c>
      <c r="C63" s="6" t="s">
        <v>15</v>
      </c>
      <c r="D63" s="7">
        <v>46099.351886574077</v>
      </c>
      <c r="E63" s="6" t="s">
        <v>615</v>
      </c>
      <c r="F63" s="6" t="s">
        <v>16</v>
      </c>
      <c r="G63" s="6" t="s">
        <v>17</v>
      </c>
      <c r="H63" s="6" t="s">
        <v>232</v>
      </c>
      <c r="I63" s="7">
        <v>46112.375057870369</v>
      </c>
      <c r="J63" s="7">
        <v>46105.345960648148</v>
      </c>
      <c r="K63" s="6" t="s">
        <v>233</v>
      </c>
      <c r="L63" s="6" t="s">
        <v>114</v>
      </c>
      <c r="M63" s="6" t="s">
        <v>234</v>
      </c>
      <c r="N63" s="7">
        <v>46112.375057870369</v>
      </c>
      <c r="O63" s="12">
        <f>INT(Table1[[#This Row],[sys_created_on]])</f>
        <v>46099</v>
      </c>
    </row>
    <row r="64" spans="1:15" x14ac:dyDescent="0.35">
      <c r="A64" s="6" t="s">
        <v>235</v>
      </c>
      <c r="B64" s="6" t="s">
        <v>14</v>
      </c>
      <c r="C64" s="6" t="s">
        <v>15</v>
      </c>
      <c r="D64" s="7">
        <v>46100.376087962963</v>
      </c>
      <c r="E64" s="6" t="s">
        <v>624</v>
      </c>
      <c r="F64" s="6" t="s">
        <v>16</v>
      </c>
      <c r="G64" s="6" t="s">
        <v>236</v>
      </c>
      <c r="H64" s="6" t="s">
        <v>237</v>
      </c>
      <c r="I64" s="7">
        <v>46107.416956018518</v>
      </c>
      <c r="J64" s="7">
        <v>46100.404097222221</v>
      </c>
      <c r="K64" s="6" t="s">
        <v>236</v>
      </c>
      <c r="L64" s="6" t="s">
        <v>37</v>
      </c>
      <c r="M64" s="6" t="s">
        <v>238</v>
      </c>
      <c r="N64" s="7">
        <v>46107.416956018518</v>
      </c>
      <c r="O64" s="12">
        <f>INT(Table1[[#This Row],[sys_created_on]])</f>
        <v>46100</v>
      </c>
    </row>
    <row r="65" spans="1:15" x14ac:dyDescent="0.35">
      <c r="A65" s="6" t="s">
        <v>239</v>
      </c>
      <c r="B65" s="6" t="s">
        <v>14</v>
      </c>
      <c r="C65" s="6" t="s">
        <v>15</v>
      </c>
      <c r="D65" s="7">
        <v>46101.557743055557</v>
      </c>
      <c r="E65" s="6" t="s">
        <v>624</v>
      </c>
      <c r="F65" s="6" t="s">
        <v>16</v>
      </c>
      <c r="G65" s="6" t="s">
        <v>240</v>
      </c>
      <c r="H65" s="6" t="s">
        <v>241</v>
      </c>
      <c r="I65" s="7">
        <v>46109.7500462963</v>
      </c>
      <c r="J65" s="7">
        <v>46102.715590277781</v>
      </c>
      <c r="K65" s="6" t="s">
        <v>242</v>
      </c>
      <c r="L65" s="6" t="s">
        <v>33</v>
      </c>
      <c r="M65" s="6" t="s">
        <v>243</v>
      </c>
      <c r="N65" s="7">
        <v>46109.7500462963</v>
      </c>
      <c r="O65" s="12">
        <f>INT(Table1[[#This Row],[sys_created_on]])</f>
        <v>46101</v>
      </c>
    </row>
    <row r="66" spans="1:15" x14ac:dyDescent="0.35">
      <c r="A66" s="6" t="s">
        <v>244</v>
      </c>
      <c r="B66" s="6" t="s">
        <v>14</v>
      </c>
      <c r="C66" s="6" t="s">
        <v>55</v>
      </c>
      <c r="D66" s="7">
        <v>46103.170937499999</v>
      </c>
      <c r="E66" s="6" t="s">
        <v>618</v>
      </c>
      <c r="F66" s="6" t="s">
        <v>40</v>
      </c>
      <c r="G66" s="6" t="s">
        <v>107</v>
      </c>
      <c r="H66" s="6" t="s">
        <v>167</v>
      </c>
      <c r="I66" s="7">
        <v>46110.291759259257</v>
      </c>
      <c r="J66" s="7">
        <v>46103.268912037034</v>
      </c>
      <c r="K66" s="6" t="s">
        <v>107</v>
      </c>
      <c r="L66" s="6" t="s">
        <v>245</v>
      </c>
      <c r="M66" s="6" t="s">
        <v>246</v>
      </c>
      <c r="N66" s="7">
        <v>46110.291759259257</v>
      </c>
      <c r="O66" s="12">
        <f>INT(Table1[[#This Row],[sys_created_on]])</f>
        <v>46103</v>
      </c>
    </row>
    <row r="67" spans="1:15" x14ac:dyDescent="0.35">
      <c r="A67" s="6" t="s">
        <v>247</v>
      </c>
      <c r="B67" s="6" t="s">
        <v>14</v>
      </c>
      <c r="C67" s="6" t="s">
        <v>55</v>
      </c>
      <c r="D67" s="7">
        <v>46103.173993055556</v>
      </c>
      <c r="E67" s="6" t="s">
        <v>618</v>
      </c>
      <c r="F67" s="6" t="s">
        <v>40</v>
      </c>
      <c r="G67" s="6" t="s">
        <v>107</v>
      </c>
      <c r="H67" s="6" t="s">
        <v>167</v>
      </c>
      <c r="I67" s="7">
        <v>46110.291712962964</v>
      </c>
      <c r="J67" s="7">
        <v>46103.260983796295</v>
      </c>
      <c r="K67" s="6" t="s">
        <v>107</v>
      </c>
      <c r="L67" s="6" t="s">
        <v>109</v>
      </c>
      <c r="M67" s="6" t="s">
        <v>246</v>
      </c>
      <c r="N67" s="7">
        <v>46110.291712962964</v>
      </c>
      <c r="O67" s="12">
        <f>INT(Table1[[#This Row],[sys_created_on]])</f>
        <v>46103</v>
      </c>
    </row>
    <row r="68" spans="1:15" x14ac:dyDescent="0.35">
      <c r="A68" s="6" t="s">
        <v>248</v>
      </c>
      <c r="B68" s="6" t="s">
        <v>14</v>
      </c>
      <c r="C68" s="6" t="s">
        <v>55</v>
      </c>
      <c r="D68" s="7">
        <v>46103.174039351848</v>
      </c>
      <c r="E68" s="6" t="s">
        <v>618</v>
      </c>
      <c r="F68" s="6" t="s">
        <v>40</v>
      </c>
      <c r="G68" s="6" t="s">
        <v>107</v>
      </c>
      <c r="H68" s="6" t="s">
        <v>167</v>
      </c>
      <c r="I68" s="7">
        <v>46110.291770833333</v>
      </c>
      <c r="J68" s="7">
        <v>46103.260752314818</v>
      </c>
      <c r="K68" s="6" t="s">
        <v>107</v>
      </c>
      <c r="L68" s="6" t="s">
        <v>109</v>
      </c>
      <c r="M68" s="6" t="s">
        <v>246</v>
      </c>
      <c r="N68" s="7">
        <v>46110.291770833333</v>
      </c>
      <c r="O68" s="12">
        <f>INT(Table1[[#This Row],[sys_created_on]])</f>
        <v>46103</v>
      </c>
    </row>
    <row r="69" spans="1:15" x14ac:dyDescent="0.35">
      <c r="A69" s="6" t="s">
        <v>249</v>
      </c>
      <c r="B69" s="6" t="s">
        <v>14</v>
      </c>
      <c r="C69" s="6" t="s">
        <v>55</v>
      </c>
      <c r="D69" s="7">
        <v>46103.174872685187</v>
      </c>
      <c r="E69" s="6" t="s">
        <v>618</v>
      </c>
      <c r="F69" s="6" t="s">
        <v>40</v>
      </c>
      <c r="G69" s="6" t="s">
        <v>107</v>
      </c>
      <c r="H69" s="6" t="s">
        <v>167</v>
      </c>
      <c r="I69" s="7">
        <v>46110.291724537034</v>
      </c>
      <c r="J69" s="7">
        <v>46103.260416666664</v>
      </c>
      <c r="K69" s="6" t="s">
        <v>107</v>
      </c>
      <c r="L69" s="6" t="s">
        <v>245</v>
      </c>
      <c r="M69" s="6" t="s">
        <v>246</v>
      </c>
      <c r="N69" s="7">
        <v>46110.291724537034</v>
      </c>
      <c r="O69" s="12">
        <f>INT(Table1[[#This Row],[sys_created_on]])</f>
        <v>46103</v>
      </c>
    </row>
    <row r="70" spans="1:15" x14ac:dyDescent="0.35">
      <c r="A70" s="6" t="s">
        <v>250</v>
      </c>
      <c r="B70" s="6" t="s">
        <v>14</v>
      </c>
      <c r="C70" s="6" t="s">
        <v>55</v>
      </c>
      <c r="D70" s="7">
        <v>46103.177430555559</v>
      </c>
      <c r="E70" s="6" t="s">
        <v>618</v>
      </c>
      <c r="F70" s="6" t="s">
        <v>40</v>
      </c>
      <c r="G70" s="6" t="s">
        <v>107</v>
      </c>
      <c r="H70" s="6" t="s">
        <v>167</v>
      </c>
      <c r="I70" s="7">
        <v>46110.29173611111</v>
      </c>
      <c r="J70" s="7">
        <v>46103.260104166664</v>
      </c>
      <c r="K70" s="6" t="s">
        <v>107</v>
      </c>
      <c r="L70" s="6" t="s">
        <v>109</v>
      </c>
      <c r="M70" s="6" t="s">
        <v>246</v>
      </c>
      <c r="N70" s="7">
        <v>46110.29173611111</v>
      </c>
      <c r="O70" s="12">
        <f>INT(Table1[[#This Row],[sys_created_on]])</f>
        <v>46103</v>
      </c>
    </row>
    <row r="71" spans="1:15" x14ac:dyDescent="0.35">
      <c r="A71" s="6" t="s">
        <v>251</v>
      </c>
      <c r="B71" s="6" t="s">
        <v>14</v>
      </c>
      <c r="C71" s="6" t="s">
        <v>23</v>
      </c>
      <c r="D71" s="7">
        <v>46107.614340277774</v>
      </c>
      <c r="E71" s="6" t="s">
        <v>619</v>
      </c>
      <c r="F71" s="6" t="s">
        <v>40</v>
      </c>
      <c r="G71" s="6" t="s">
        <v>56</v>
      </c>
      <c r="H71" s="6" t="s">
        <v>252</v>
      </c>
      <c r="I71" s="7">
        <v>46115.832430555558</v>
      </c>
      <c r="J71" s="7">
        <v>46108.500949074078</v>
      </c>
      <c r="K71" s="6" t="s">
        <v>56</v>
      </c>
      <c r="L71" s="6" t="s">
        <v>109</v>
      </c>
      <c r="M71" s="6" t="s">
        <v>253</v>
      </c>
      <c r="N71" s="7">
        <v>46115.541678240741</v>
      </c>
      <c r="O71" s="12">
        <f>INT(Table1[[#This Row],[sys_created_on]])</f>
        <v>46107</v>
      </c>
    </row>
    <row r="72" spans="1:15" x14ac:dyDescent="0.35">
      <c r="A72" s="6" t="s">
        <v>254</v>
      </c>
      <c r="B72" s="6" t="s">
        <v>14</v>
      </c>
      <c r="C72" s="6" t="s">
        <v>15</v>
      </c>
      <c r="D72" s="7">
        <v>46108.665775462963</v>
      </c>
      <c r="E72" s="6" t="s">
        <v>608</v>
      </c>
      <c r="F72" s="6" t="s">
        <v>16</v>
      </c>
      <c r="G72" s="6" t="s">
        <v>19</v>
      </c>
      <c r="H72" s="6" t="s">
        <v>255</v>
      </c>
      <c r="I72" s="7">
        <v>46119.542175925926</v>
      </c>
      <c r="J72" s="7">
        <v>46112.535868055558</v>
      </c>
      <c r="K72" s="6" t="s">
        <v>113</v>
      </c>
      <c r="L72" s="6" t="s">
        <v>114</v>
      </c>
      <c r="M72" s="6" t="s">
        <v>256</v>
      </c>
      <c r="N72" s="7">
        <v>46119.54215277778</v>
      </c>
      <c r="O72" s="12">
        <f>INT(Table1[[#This Row],[sys_created_on]])</f>
        <v>46108</v>
      </c>
    </row>
    <row r="73" spans="1:15" x14ac:dyDescent="0.35">
      <c r="A73" s="6" t="s">
        <v>257</v>
      </c>
      <c r="B73" s="6" t="s">
        <v>14</v>
      </c>
      <c r="C73" s="6" t="s">
        <v>55</v>
      </c>
      <c r="D73" s="7">
        <v>46110.401145833333</v>
      </c>
      <c r="E73" s="6" t="s">
        <v>618</v>
      </c>
      <c r="F73" s="6" t="s">
        <v>40</v>
      </c>
      <c r="G73" s="6" t="s">
        <v>214</v>
      </c>
      <c r="H73" s="6" t="s">
        <v>167</v>
      </c>
      <c r="I73" s="7">
        <v>46117.458402777775</v>
      </c>
      <c r="J73" s="7">
        <v>46110.421446759261</v>
      </c>
      <c r="K73" s="6" t="s">
        <v>214</v>
      </c>
      <c r="L73" s="6" t="s">
        <v>109</v>
      </c>
      <c r="M73" s="6" t="s">
        <v>258</v>
      </c>
      <c r="N73" s="7">
        <v>46117.458402777775</v>
      </c>
      <c r="O73" s="12">
        <f>INT(Table1[[#This Row],[sys_created_on]])</f>
        <v>46110</v>
      </c>
    </row>
    <row r="74" spans="1:15" x14ac:dyDescent="0.35">
      <c r="A74" s="6" t="s">
        <v>259</v>
      </c>
      <c r="B74" s="6" t="s">
        <v>14</v>
      </c>
      <c r="C74" s="6" t="s">
        <v>55</v>
      </c>
      <c r="D74" s="7">
        <v>46110.401261574072</v>
      </c>
      <c r="E74" s="6" t="s">
        <v>618</v>
      </c>
      <c r="F74" s="6" t="s">
        <v>40</v>
      </c>
      <c r="G74" s="6" t="s">
        <v>214</v>
      </c>
      <c r="H74" s="6" t="s">
        <v>260</v>
      </c>
      <c r="I74" s="7">
        <v>46117.416678240741</v>
      </c>
      <c r="J74" s="7">
        <v>46110.41070601852</v>
      </c>
      <c r="K74" s="6" t="s">
        <v>56</v>
      </c>
      <c r="L74" s="6" t="s">
        <v>43</v>
      </c>
      <c r="M74" s="6" t="s">
        <v>261</v>
      </c>
      <c r="N74" s="7">
        <v>46117.416678240741</v>
      </c>
      <c r="O74" s="12">
        <f>INT(Table1[[#This Row],[sys_created_on]])</f>
        <v>46110</v>
      </c>
    </row>
    <row r="75" spans="1:15" x14ac:dyDescent="0.35">
      <c r="A75" s="6" t="s">
        <v>262</v>
      </c>
      <c r="B75" s="6" t="s">
        <v>14</v>
      </c>
      <c r="C75" s="6" t="s">
        <v>15</v>
      </c>
      <c r="D75" s="7">
        <v>46114.238136574073</v>
      </c>
      <c r="E75" s="6" t="s">
        <v>608</v>
      </c>
      <c r="F75" s="6" t="s">
        <v>16</v>
      </c>
      <c r="G75" s="6" t="s">
        <v>19</v>
      </c>
      <c r="H75" s="6" t="s">
        <v>263</v>
      </c>
      <c r="I75" s="7">
        <v>46132.542349537034</v>
      </c>
      <c r="J75" s="7">
        <v>46125.503217592595</v>
      </c>
      <c r="K75" s="6" t="s">
        <v>97</v>
      </c>
      <c r="L75" s="6" t="s">
        <v>37</v>
      </c>
      <c r="M75" s="6" t="s">
        <v>264</v>
      </c>
      <c r="N75" s="7">
        <v>46132.542349537034</v>
      </c>
      <c r="O75" s="12">
        <f>INT(Table1[[#This Row],[sys_created_on]])</f>
        <v>46114</v>
      </c>
    </row>
    <row r="76" spans="1:15" x14ac:dyDescent="0.35">
      <c r="A76" s="6" t="s">
        <v>265</v>
      </c>
      <c r="B76" s="6" t="s">
        <v>14</v>
      </c>
      <c r="C76" s="6" t="s">
        <v>15</v>
      </c>
      <c r="D76" s="7">
        <v>46114.51053240741</v>
      </c>
      <c r="E76" s="6" t="s">
        <v>619</v>
      </c>
      <c r="F76" s="6" t="s">
        <v>40</v>
      </c>
      <c r="G76" s="6" t="s">
        <v>64</v>
      </c>
      <c r="H76" s="6" t="s">
        <v>266</v>
      </c>
      <c r="I76" s="7">
        <v>46122.625451388885</v>
      </c>
      <c r="J76" s="7">
        <v>46115.584479166668</v>
      </c>
      <c r="K76" s="6" t="s">
        <v>64</v>
      </c>
      <c r="L76" s="6" t="s">
        <v>109</v>
      </c>
      <c r="M76" s="6" t="s">
        <v>267</v>
      </c>
      <c r="N76" s="7">
        <v>46122.625451388885</v>
      </c>
      <c r="O76" s="12">
        <f>INT(Table1[[#This Row],[sys_created_on]])</f>
        <v>46114</v>
      </c>
    </row>
    <row r="77" spans="1:15" x14ac:dyDescent="0.35">
      <c r="A77" s="6" t="s">
        <v>268</v>
      </c>
      <c r="B77" s="6" t="s">
        <v>14</v>
      </c>
      <c r="C77" s="6" t="s">
        <v>15</v>
      </c>
      <c r="D77" s="7">
        <v>46114.559513888889</v>
      </c>
      <c r="E77" s="6" t="s">
        <v>608</v>
      </c>
      <c r="F77" s="6" t="s">
        <v>16</v>
      </c>
      <c r="G77" s="6" t="s">
        <v>97</v>
      </c>
      <c r="H77" s="6" t="s">
        <v>269</v>
      </c>
      <c r="I77" s="7">
        <v>46122.41684027778</v>
      </c>
      <c r="J77" s="7">
        <v>46115.397881944446</v>
      </c>
      <c r="K77" s="6" t="s">
        <v>97</v>
      </c>
      <c r="L77" s="6" t="s">
        <v>37</v>
      </c>
      <c r="M77" s="6" t="s">
        <v>270</v>
      </c>
      <c r="N77" s="7">
        <v>46122.41684027778</v>
      </c>
      <c r="O77" s="12">
        <f>INT(Table1[[#This Row],[sys_created_on]])</f>
        <v>46114</v>
      </c>
    </row>
    <row r="78" spans="1:15" x14ac:dyDescent="0.35">
      <c r="A78" s="6" t="s">
        <v>271</v>
      </c>
      <c r="B78" s="6" t="s">
        <v>14</v>
      </c>
      <c r="C78" s="6" t="s">
        <v>15</v>
      </c>
      <c r="D78" s="7">
        <v>46114.592291666668</v>
      </c>
      <c r="E78" s="6" t="s">
        <v>619</v>
      </c>
      <c r="F78" s="6" t="s">
        <v>40</v>
      </c>
      <c r="G78" s="6" t="s">
        <v>131</v>
      </c>
      <c r="H78" s="6" t="s">
        <v>272</v>
      </c>
      <c r="I78" s="7">
        <v>46126.375358796293</v>
      </c>
      <c r="J78" s="7">
        <v>46119.346875000003</v>
      </c>
      <c r="K78" s="6" t="s">
        <v>131</v>
      </c>
      <c r="L78" s="6" t="s">
        <v>109</v>
      </c>
      <c r="M78" s="6" t="s">
        <v>267</v>
      </c>
      <c r="N78" s="7">
        <v>46126.375358796293</v>
      </c>
      <c r="O78" s="12">
        <f>INT(Table1[[#This Row],[sys_created_on]])</f>
        <v>46114</v>
      </c>
    </row>
    <row r="79" spans="1:15" x14ac:dyDescent="0.35">
      <c r="A79" s="6" t="s">
        <v>273</v>
      </c>
      <c r="B79" s="6" t="s">
        <v>14</v>
      </c>
      <c r="C79" s="6" t="s">
        <v>55</v>
      </c>
      <c r="D79" s="7">
        <v>46115.687256944446</v>
      </c>
      <c r="E79" s="6" t="s">
        <v>618</v>
      </c>
      <c r="F79" s="6" t="s">
        <v>40</v>
      </c>
      <c r="G79" s="6" t="s">
        <v>214</v>
      </c>
      <c r="H79" s="6" t="s">
        <v>167</v>
      </c>
      <c r="I79" s="7">
        <v>46122.750254629631</v>
      </c>
      <c r="J79" s="7">
        <v>46115.749780092592</v>
      </c>
      <c r="K79" s="6" t="s">
        <v>214</v>
      </c>
      <c r="L79" s="6" t="s">
        <v>109</v>
      </c>
      <c r="M79" s="6" t="s">
        <v>274</v>
      </c>
      <c r="N79" s="7">
        <v>46122.750254629631</v>
      </c>
      <c r="O79" s="12">
        <f>INT(Table1[[#This Row],[sys_created_on]])</f>
        <v>46115</v>
      </c>
    </row>
    <row r="80" spans="1:15" x14ac:dyDescent="0.35">
      <c r="A80" s="6" t="s">
        <v>275</v>
      </c>
      <c r="B80" s="6" t="s">
        <v>14</v>
      </c>
      <c r="C80" s="6" t="s">
        <v>15</v>
      </c>
      <c r="D80" s="7">
        <v>46118.525381944448</v>
      </c>
      <c r="E80" s="6" t="s">
        <v>618</v>
      </c>
      <c r="F80" s="6" t="s">
        <v>40</v>
      </c>
      <c r="G80" s="6" t="s">
        <v>120</v>
      </c>
      <c r="H80" s="6" t="s">
        <v>276</v>
      </c>
      <c r="I80" s="7">
        <v>46125.666701388887</v>
      </c>
      <c r="J80" s="7">
        <v>46118.6562037037</v>
      </c>
      <c r="K80" s="6" t="s">
        <v>120</v>
      </c>
      <c r="L80" s="6" t="s">
        <v>137</v>
      </c>
      <c r="M80" s="6" t="s">
        <v>277</v>
      </c>
      <c r="N80" s="7">
        <v>46125.666678240741</v>
      </c>
      <c r="O80" s="12">
        <f>INT(Table1[[#This Row],[sys_created_on]])</f>
        <v>46118</v>
      </c>
    </row>
    <row r="81" spans="1:15" x14ac:dyDescent="0.35">
      <c r="A81" s="6" t="s">
        <v>278</v>
      </c>
      <c r="B81" s="6" t="s">
        <v>14</v>
      </c>
      <c r="C81" s="6" t="s">
        <v>15</v>
      </c>
      <c r="D81" s="7">
        <v>46119.310381944444</v>
      </c>
      <c r="E81" s="6" t="s">
        <v>618</v>
      </c>
      <c r="F81" s="6" t="s">
        <v>40</v>
      </c>
      <c r="G81" s="6" t="s">
        <v>107</v>
      </c>
      <c r="H81" s="6" t="s">
        <v>279</v>
      </c>
      <c r="I81" s="7">
        <v>46132.542395833334</v>
      </c>
      <c r="J81" s="7">
        <v>46125.50204861111</v>
      </c>
      <c r="K81" s="6" t="s">
        <v>120</v>
      </c>
      <c r="L81" s="6" t="s">
        <v>109</v>
      </c>
      <c r="M81" s="6" t="s">
        <v>267</v>
      </c>
      <c r="N81" s="7">
        <v>46132.542372685188</v>
      </c>
      <c r="O81" s="12">
        <f>INT(Table1[[#This Row],[sys_created_on]])</f>
        <v>46119</v>
      </c>
    </row>
    <row r="82" spans="1:15" x14ac:dyDescent="0.35">
      <c r="A82" s="6" t="s">
        <v>280</v>
      </c>
      <c r="B82" s="6" t="s">
        <v>14</v>
      </c>
      <c r="C82" s="6" t="s">
        <v>23</v>
      </c>
      <c r="D82" s="7">
        <v>46119.958090277774</v>
      </c>
      <c r="E82" s="6" t="s">
        <v>615</v>
      </c>
      <c r="F82" s="6" t="s">
        <v>16</v>
      </c>
      <c r="G82" s="6" t="s">
        <v>17</v>
      </c>
      <c r="H82" s="6" t="s">
        <v>281</v>
      </c>
      <c r="I82" s="7">
        <v>46127.916712962964</v>
      </c>
      <c r="J82" s="7">
        <v>46120.880543981482</v>
      </c>
      <c r="K82" s="6" t="s">
        <v>17</v>
      </c>
      <c r="L82" s="6" t="s">
        <v>20</v>
      </c>
      <c r="M82" s="6" t="s">
        <v>282</v>
      </c>
      <c r="N82" s="7">
        <v>46127.916712962964</v>
      </c>
      <c r="O82" s="12">
        <f>INT(Table1[[#This Row],[sys_created_on]])</f>
        <v>46119</v>
      </c>
    </row>
    <row r="83" spans="1:15" x14ac:dyDescent="0.35">
      <c r="A83" s="6" t="s">
        <v>283</v>
      </c>
      <c r="B83" s="6" t="s">
        <v>14</v>
      </c>
      <c r="C83" s="6" t="s">
        <v>55</v>
      </c>
      <c r="D83" s="7">
        <v>46120.172048611108</v>
      </c>
      <c r="E83" s="6" t="s">
        <v>618</v>
      </c>
      <c r="F83" s="6" t="s">
        <v>40</v>
      </c>
      <c r="G83" s="6" t="s">
        <v>214</v>
      </c>
      <c r="H83" s="6" t="s">
        <v>167</v>
      </c>
      <c r="I83" s="7">
        <v>46127.20853009259</v>
      </c>
      <c r="J83" s="7">
        <v>46120.199756944443</v>
      </c>
      <c r="K83" s="6" t="s">
        <v>64</v>
      </c>
      <c r="L83" s="6" t="s">
        <v>109</v>
      </c>
      <c r="M83" s="6" t="s">
        <v>284</v>
      </c>
      <c r="N83" s="7">
        <v>46127.20853009259</v>
      </c>
      <c r="O83" s="12">
        <f>INT(Table1[[#This Row],[sys_created_on]])</f>
        <v>46120</v>
      </c>
    </row>
    <row r="84" spans="1:15" x14ac:dyDescent="0.35">
      <c r="A84" s="6" t="s">
        <v>285</v>
      </c>
      <c r="B84" s="6" t="s">
        <v>14</v>
      </c>
      <c r="C84" s="6" t="s">
        <v>15</v>
      </c>
      <c r="D84" s="7">
        <v>46120.226793981485</v>
      </c>
      <c r="E84" s="6" t="s">
        <v>615</v>
      </c>
      <c r="F84" s="6" t="s">
        <v>16</v>
      </c>
      <c r="G84" s="6" t="s">
        <v>97</v>
      </c>
      <c r="H84" s="6" t="s">
        <v>286</v>
      </c>
      <c r="I84" s="7">
        <v>46127.416886574072</v>
      </c>
      <c r="J84" s="7">
        <v>46120.384548611109</v>
      </c>
      <c r="K84" s="6" t="s">
        <v>97</v>
      </c>
      <c r="L84" s="6" t="s">
        <v>33</v>
      </c>
      <c r="M84" s="6" t="s">
        <v>287</v>
      </c>
      <c r="N84" s="7">
        <v>46127.416875000003</v>
      </c>
      <c r="O84" s="12">
        <f>INT(Table1[[#This Row],[sys_created_on]])</f>
        <v>46120</v>
      </c>
    </row>
    <row r="85" spans="1:15" x14ac:dyDescent="0.35">
      <c r="A85" s="6" t="s">
        <v>288</v>
      </c>
      <c r="B85" s="6" t="s">
        <v>14</v>
      </c>
      <c r="C85" s="6" t="s">
        <v>15</v>
      </c>
      <c r="D85" s="7">
        <v>46120.275370370371</v>
      </c>
      <c r="E85" s="6" t="s">
        <v>625</v>
      </c>
      <c r="F85" s="6" t="s">
        <v>16</v>
      </c>
      <c r="G85" s="6" t="s">
        <v>233</v>
      </c>
      <c r="H85" s="6" t="s">
        <v>289</v>
      </c>
      <c r="I85" s="7">
        <v>46134.41673611111</v>
      </c>
      <c r="J85" s="7">
        <v>46127.414965277778</v>
      </c>
      <c r="K85" s="6" t="s">
        <v>233</v>
      </c>
      <c r="L85" s="6" t="s">
        <v>245</v>
      </c>
      <c r="M85" s="6" t="s">
        <v>290</v>
      </c>
      <c r="N85" s="7">
        <v>46134.41673611111</v>
      </c>
      <c r="O85" s="12">
        <f>INT(Table1[[#This Row],[sys_created_on]])</f>
        <v>46120</v>
      </c>
    </row>
    <row r="86" spans="1:15" x14ac:dyDescent="0.35">
      <c r="A86" s="6" t="s">
        <v>291</v>
      </c>
      <c r="B86" s="6" t="s">
        <v>14</v>
      </c>
      <c r="C86" s="6" t="s">
        <v>55</v>
      </c>
      <c r="D86" s="7">
        <v>46120.283449074072</v>
      </c>
      <c r="E86" s="6" t="s">
        <v>618</v>
      </c>
      <c r="F86" s="6" t="s">
        <v>40</v>
      </c>
      <c r="G86" s="6" t="s">
        <v>214</v>
      </c>
      <c r="H86" s="6" t="s">
        <v>167</v>
      </c>
      <c r="I86" s="7">
        <v>46127.41684027778</v>
      </c>
      <c r="J86" s="7">
        <v>46120.379780092589</v>
      </c>
      <c r="K86" s="6" t="s">
        <v>214</v>
      </c>
      <c r="L86" s="6" t="s">
        <v>43</v>
      </c>
      <c r="M86" s="6" t="s">
        <v>292</v>
      </c>
      <c r="N86" s="7">
        <v>46127.41684027778</v>
      </c>
      <c r="O86" s="12">
        <f>INT(Table1[[#This Row],[sys_created_on]])</f>
        <v>46120</v>
      </c>
    </row>
    <row r="87" spans="1:15" x14ac:dyDescent="0.35">
      <c r="A87" s="6" t="s">
        <v>293</v>
      </c>
      <c r="B87" s="6" t="s">
        <v>14</v>
      </c>
      <c r="C87" s="6" t="s">
        <v>55</v>
      </c>
      <c r="D87" s="7">
        <v>46120.329965277779</v>
      </c>
      <c r="E87" s="6" t="s">
        <v>618</v>
      </c>
      <c r="F87" s="6" t="s">
        <v>40</v>
      </c>
      <c r="G87" s="6" t="s">
        <v>97</v>
      </c>
      <c r="H87" s="6" t="s">
        <v>294</v>
      </c>
      <c r="I87" s="7">
        <v>46127.500740740739</v>
      </c>
      <c r="J87" s="7">
        <v>46120.483761574076</v>
      </c>
      <c r="K87" s="6" t="s">
        <v>120</v>
      </c>
      <c r="L87" s="6" t="s">
        <v>109</v>
      </c>
      <c r="M87" s="6" t="s">
        <v>295</v>
      </c>
      <c r="N87" s="7">
        <v>46127.500740740739</v>
      </c>
      <c r="O87" s="12">
        <f>INT(Table1[[#This Row],[sys_created_on]])</f>
        <v>46120</v>
      </c>
    </row>
    <row r="88" spans="1:15" x14ac:dyDescent="0.35">
      <c r="A88" s="6" t="s">
        <v>296</v>
      </c>
      <c r="B88" s="6" t="s">
        <v>14</v>
      </c>
      <c r="C88" s="6" t="s">
        <v>55</v>
      </c>
      <c r="D88" s="7">
        <v>46120.330358796295</v>
      </c>
      <c r="E88" s="6" t="s">
        <v>618</v>
      </c>
      <c r="F88" s="6" t="s">
        <v>40</v>
      </c>
      <c r="G88" s="6" t="s">
        <v>120</v>
      </c>
      <c r="H88" s="6" t="s">
        <v>297</v>
      </c>
      <c r="I88" s="7">
        <v>46129.83935185185</v>
      </c>
      <c r="J88" s="7">
        <v>46120.475243055553</v>
      </c>
      <c r="K88" s="6" t="s">
        <v>120</v>
      </c>
      <c r="L88" s="6" t="s">
        <v>109</v>
      </c>
      <c r="M88" s="6" t="s">
        <v>298</v>
      </c>
      <c r="N88" s="7">
        <v>46127.50072916667</v>
      </c>
      <c r="O88" s="12">
        <f>INT(Table1[[#This Row],[sys_created_on]])</f>
        <v>46120</v>
      </c>
    </row>
    <row r="89" spans="1:15" x14ac:dyDescent="0.35">
      <c r="A89" s="6" t="s">
        <v>299</v>
      </c>
      <c r="B89" s="6" t="s">
        <v>14</v>
      </c>
      <c r="C89" s="6" t="s">
        <v>23</v>
      </c>
      <c r="D89" s="7">
        <v>46120.330868055556</v>
      </c>
      <c r="E89" s="6" t="s">
        <v>608</v>
      </c>
      <c r="F89" s="6" t="s">
        <v>16</v>
      </c>
      <c r="G89" s="6" t="s">
        <v>97</v>
      </c>
      <c r="H89" s="6" t="s">
        <v>300</v>
      </c>
      <c r="I89" s="7">
        <v>46128.66710648148</v>
      </c>
      <c r="J89" s="7">
        <v>46121.634710648148</v>
      </c>
      <c r="K89" s="6" t="s">
        <v>97</v>
      </c>
      <c r="L89" s="6" t="s">
        <v>37</v>
      </c>
      <c r="M89" s="6" t="s">
        <v>301</v>
      </c>
      <c r="N89" s="7">
        <v>46128.66710648148</v>
      </c>
      <c r="O89" s="12">
        <f>INT(Table1[[#This Row],[sys_created_on]])</f>
        <v>46120</v>
      </c>
    </row>
    <row r="90" spans="1:15" x14ac:dyDescent="0.35">
      <c r="A90" s="6" t="s">
        <v>302</v>
      </c>
      <c r="B90" s="6" t="s">
        <v>14</v>
      </c>
      <c r="C90" s="6" t="s">
        <v>15</v>
      </c>
      <c r="D90" s="7">
        <v>46120.331122685187</v>
      </c>
      <c r="E90" s="6" t="s">
        <v>618</v>
      </c>
      <c r="F90" s="6" t="s">
        <v>40</v>
      </c>
      <c r="G90" s="6" t="s">
        <v>120</v>
      </c>
      <c r="H90" s="6" t="s">
        <v>303</v>
      </c>
      <c r="I90" s="7">
        <v>46127.541689814818</v>
      </c>
      <c r="J90" s="7">
        <v>46120.502557870372</v>
      </c>
      <c r="K90" s="6" t="s">
        <v>120</v>
      </c>
      <c r="L90" s="6" t="s">
        <v>109</v>
      </c>
      <c r="M90" s="6" t="s">
        <v>304</v>
      </c>
      <c r="N90" s="7">
        <v>46127.541689814818</v>
      </c>
      <c r="O90" s="12">
        <f>INT(Table1[[#This Row],[sys_created_on]])</f>
        <v>46120</v>
      </c>
    </row>
    <row r="91" spans="1:15" x14ac:dyDescent="0.35">
      <c r="A91" s="6" t="s">
        <v>305</v>
      </c>
      <c r="B91" s="6" t="s">
        <v>14</v>
      </c>
      <c r="C91" s="6" t="s">
        <v>23</v>
      </c>
      <c r="D91" s="7">
        <v>46120.340717592589</v>
      </c>
      <c r="E91" s="6" t="s">
        <v>619</v>
      </c>
      <c r="F91" s="6" t="s">
        <v>40</v>
      </c>
      <c r="G91" s="6" t="s">
        <v>120</v>
      </c>
      <c r="H91" s="6" t="s">
        <v>306</v>
      </c>
      <c r="I91" s="7">
        <v>46127.500347222223</v>
      </c>
      <c r="J91" s="7">
        <v>46120.479247685187</v>
      </c>
      <c r="K91" s="6" t="s">
        <v>120</v>
      </c>
      <c r="L91" s="6" t="s">
        <v>109</v>
      </c>
      <c r="M91" s="6" t="s">
        <v>295</v>
      </c>
      <c r="N91" s="7">
        <v>46127.500347222223</v>
      </c>
      <c r="O91" s="12">
        <f>INT(Table1[[#This Row],[sys_created_on]])</f>
        <v>46120</v>
      </c>
    </row>
    <row r="92" spans="1:15" x14ac:dyDescent="0.35">
      <c r="A92" s="6" t="s">
        <v>307</v>
      </c>
      <c r="B92" s="6" t="s">
        <v>14</v>
      </c>
      <c r="C92" s="6" t="s">
        <v>55</v>
      </c>
      <c r="D92" s="7">
        <v>46120.34579861111</v>
      </c>
      <c r="E92" s="6" t="s">
        <v>618</v>
      </c>
      <c r="F92" s="6" t="s">
        <v>40</v>
      </c>
      <c r="G92" s="6" t="s">
        <v>64</v>
      </c>
      <c r="H92" s="6" t="s">
        <v>308</v>
      </c>
      <c r="I92" s="7">
        <v>46127.500277777777</v>
      </c>
      <c r="J92" s="7">
        <v>46120.474560185183</v>
      </c>
      <c r="K92" s="6" t="s">
        <v>120</v>
      </c>
      <c r="L92" s="6" t="s">
        <v>109</v>
      </c>
      <c r="M92" s="6" t="s">
        <v>309</v>
      </c>
      <c r="N92" s="7">
        <v>46127.500277777777</v>
      </c>
      <c r="O92" s="12">
        <f>INT(Table1[[#This Row],[sys_created_on]])</f>
        <v>46120</v>
      </c>
    </row>
    <row r="93" spans="1:15" x14ac:dyDescent="0.35">
      <c r="A93" s="6" t="s">
        <v>310</v>
      </c>
      <c r="B93" s="6" t="s">
        <v>14</v>
      </c>
      <c r="C93" s="6" t="s">
        <v>15</v>
      </c>
      <c r="D93" s="7">
        <v>46120.352662037039</v>
      </c>
      <c r="E93" s="6" t="s">
        <v>619</v>
      </c>
      <c r="F93" s="6" t="s">
        <v>40</v>
      </c>
      <c r="G93" s="6" t="s">
        <v>120</v>
      </c>
      <c r="H93" s="6" t="s">
        <v>311</v>
      </c>
      <c r="I93" s="7">
        <v>46127.541689814818</v>
      </c>
      <c r="J93" s="7">
        <v>46120.522210648145</v>
      </c>
      <c r="K93" s="6" t="s">
        <v>120</v>
      </c>
      <c r="L93" s="6" t="s">
        <v>109</v>
      </c>
      <c r="M93" s="6" t="s">
        <v>298</v>
      </c>
      <c r="N93" s="7">
        <v>46127.541689814818</v>
      </c>
      <c r="O93" s="12">
        <f>INT(Table1[[#This Row],[sys_created_on]])</f>
        <v>46120</v>
      </c>
    </row>
    <row r="94" spans="1:15" x14ac:dyDescent="0.35">
      <c r="A94" s="6" t="s">
        <v>312</v>
      </c>
      <c r="B94" s="6" t="s">
        <v>14</v>
      </c>
      <c r="C94" s="6" t="s">
        <v>15</v>
      </c>
      <c r="D94" s="7">
        <v>46120.356805555559</v>
      </c>
      <c r="E94" s="6" t="s">
        <v>618</v>
      </c>
      <c r="F94" s="6" t="s">
        <v>40</v>
      </c>
      <c r="G94" s="6" t="s">
        <v>214</v>
      </c>
      <c r="H94" s="6" t="s">
        <v>313</v>
      </c>
      <c r="I94" s="7">
        <v>46127.500717592593</v>
      </c>
      <c r="J94" s="7">
        <v>46120.482766203706</v>
      </c>
      <c r="K94" s="6" t="s">
        <v>120</v>
      </c>
      <c r="L94" s="6" t="s">
        <v>109</v>
      </c>
      <c r="M94" s="6" t="s">
        <v>295</v>
      </c>
      <c r="N94" s="7">
        <v>46127.500717592593</v>
      </c>
      <c r="O94" s="12">
        <f>INT(Table1[[#This Row],[sys_created_on]])</f>
        <v>46120</v>
      </c>
    </row>
    <row r="95" spans="1:15" x14ac:dyDescent="0.35">
      <c r="A95" s="6" t="s">
        <v>314</v>
      </c>
      <c r="B95" s="6" t="s">
        <v>14</v>
      </c>
      <c r="C95" s="6" t="s">
        <v>15</v>
      </c>
      <c r="D95" s="7">
        <v>46120.442766203705</v>
      </c>
      <c r="E95" s="6" t="s">
        <v>618</v>
      </c>
      <c r="F95" s="6" t="s">
        <v>40</v>
      </c>
      <c r="G95" s="6" t="s">
        <v>131</v>
      </c>
      <c r="H95" s="6" t="s">
        <v>315</v>
      </c>
      <c r="I95" s="7">
        <v>46135.459050925929</v>
      </c>
      <c r="J95" s="7">
        <v>46128.452615740738</v>
      </c>
      <c r="K95" s="6" t="s">
        <v>120</v>
      </c>
      <c r="L95" s="6" t="s">
        <v>109</v>
      </c>
      <c r="M95" s="6" t="s">
        <v>316</v>
      </c>
      <c r="N95" s="7">
        <v>46135.459039351852</v>
      </c>
      <c r="O95" s="12">
        <f>INT(Table1[[#This Row],[sys_created_on]])</f>
        <v>46120</v>
      </c>
    </row>
    <row r="96" spans="1:15" x14ac:dyDescent="0.35">
      <c r="A96" s="6" t="s">
        <v>317</v>
      </c>
      <c r="B96" s="6" t="s">
        <v>14</v>
      </c>
      <c r="C96" s="6" t="s">
        <v>15</v>
      </c>
      <c r="D96" s="7">
        <v>46121.434189814812</v>
      </c>
      <c r="E96" s="6" t="s">
        <v>609</v>
      </c>
      <c r="F96" s="6" t="s">
        <v>40</v>
      </c>
      <c r="G96" s="6" t="s">
        <v>131</v>
      </c>
      <c r="H96" s="6" t="s">
        <v>318</v>
      </c>
      <c r="I96" s="7">
        <v>46129.458761574075</v>
      </c>
      <c r="J96" s="7">
        <v>46122.450949074075</v>
      </c>
      <c r="K96" s="6" t="s">
        <v>131</v>
      </c>
      <c r="L96" s="6" t="s">
        <v>109</v>
      </c>
      <c r="M96" s="6" t="s">
        <v>319</v>
      </c>
      <c r="N96" s="7">
        <v>46129.458726851852</v>
      </c>
      <c r="O96" s="12">
        <f>INT(Table1[[#This Row],[sys_created_on]])</f>
        <v>46121</v>
      </c>
    </row>
    <row r="97" spans="1:15" x14ac:dyDescent="0.35">
      <c r="A97" s="6" t="s">
        <v>320</v>
      </c>
      <c r="B97" s="6" t="s">
        <v>14</v>
      </c>
      <c r="C97" s="6" t="s">
        <v>55</v>
      </c>
      <c r="D97" s="7">
        <v>46124.378564814811</v>
      </c>
      <c r="E97" s="6" t="s">
        <v>618</v>
      </c>
      <c r="F97" s="6" t="s">
        <v>40</v>
      </c>
      <c r="G97" s="6" t="s">
        <v>131</v>
      </c>
      <c r="H97" s="6" t="s">
        <v>167</v>
      </c>
      <c r="I97" s="7">
        <v>46131.5</v>
      </c>
      <c r="J97" s="7">
        <v>46124.490752314814</v>
      </c>
      <c r="K97" s="6" t="s">
        <v>97</v>
      </c>
      <c r="L97" s="6" t="s">
        <v>125</v>
      </c>
      <c r="M97" s="6" t="s">
        <v>321</v>
      </c>
      <c r="N97" s="7">
        <v>46131.5</v>
      </c>
      <c r="O97" s="12">
        <f>INT(Table1[[#This Row],[sys_created_on]])</f>
        <v>46124</v>
      </c>
    </row>
    <row r="98" spans="1:15" x14ac:dyDescent="0.35">
      <c r="A98" s="6" t="s">
        <v>322</v>
      </c>
      <c r="B98" s="6" t="s">
        <v>14</v>
      </c>
      <c r="C98" s="6" t="s">
        <v>55</v>
      </c>
      <c r="D98" s="7">
        <v>46125.226944444446</v>
      </c>
      <c r="E98" s="6" t="s">
        <v>626</v>
      </c>
      <c r="F98" s="6" t="s">
        <v>16</v>
      </c>
      <c r="G98" s="6" t="s">
        <v>233</v>
      </c>
      <c r="H98" s="6" t="s">
        <v>323</v>
      </c>
      <c r="I98" s="7">
        <v>46132.37537037037</v>
      </c>
      <c r="J98" s="7">
        <v>46125.337500000001</v>
      </c>
      <c r="K98" s="6" t="s">
        <v>97</v>
      </c>
      <c r="L98" s="6" t="s">
        <v>43</v>
      </c>
      <c r="M98" s="6" t="s">
        <v>324</v>
      </c>
      <c r="N98" s="7">
        <v>46132.37537037037</v>
      </c>
      <c r="O98" s="12">
        <f>INT(Table1[[#This Row],[sys_created_on]])</f>
        <v>46125</v>
      </c>
    </row>
    <row r="99" spans="1:15" x14ac:dyDescent="0.35">
      <c r="A99" s="6" t="s">
        <v>325</v>
      </c>
      <c r="B99" s="6" t="s">
        <v>14</v>
      </c>
      <c r="C99" s="6" t="s">
        <v>15</v>
      </c>
      <c r="D99" s="7">
        <v>46125.396620370368</v>
      </c>
      <c r="E99" s="6" t="s">
        <v>619</v>
      </c>
      <c r="F99" s="6" t="s">
        <v>40</v>
      </c>
      <c r="G99" s="6" t="s">
        <v>56</v>
      </c>
      <c r="H99" s="6" t="s">
        <v>326</v>
      </c>
      <c r="I99" s="7">
        <v>46133.416967592595</v>
      </c>
      <c r="J99" s="7">
        <v>46126.375902777778</v>
      </c>
      <c r="K99" s="6" t="s">
        <v>120</v>
      </c>
      <c r="L99" s="6" t="s">
        <v>109</v>
      </c>
      <c r="M99" s="6" t="s">
        <v>327</v>
      </c>
      <c r="N99" s="7">
        <v>46133.416909722226</v>
      </c>
      <c r="O99" s="12">
        <f>INT(Table1[[#This Row],[sys_created_on]])</f>
        <v>46125</v>
      </c>
    </row>
    <row r="100" spans="1:15" x14ac:dyDescent="0.35">
      <c r="A100" s="6" t="s">
        <v>328</v>
      </c>
      <c r="B100" s="6" t="s">
        <v>14</v>
      </c>
      <c r="C100" s="6" t="s">
        <v>55</v>
      </c>
      <c r="D100" s="7">
        <v>46126.294872685183</v>
      </c>
      <c r="E100" s="6" t="s">
        <v>626</v>
      </c>
      <c r="F100" s="6" t="s">
        <v>16</v>
      </c>
      <c r="G100" s="6" t="s">
        <v>97</v>
      </c>
      <c r="H100" s="6" t="s">
        <v>323</v>
      </c>
      <c r="I100" s="7">
        <v>46133.333622685182</v>
      </c>
      <c r="J100" s="7">
        <v>46126.308819444443</v>
      </c>
      <c r="K100" s="6"/>
      <c r="L100" s="6" t="s">
        <v>43</v>
      </c>
      <c r="M100" s="6" t="s">
        <v>329</v>
      </c>
      <c r="N100" s="7">
        <v>46133.333622685182</v>
      </c>
      <c r="O100" s="12">
        <f>INT(Table1[[#This Row],[sys_created_on]])</f>
        <v>46126</v>
      </c>
    </row>
    <row r="101" spans="1:15" x14ac:dyDescent="0.35">
      <c r="A101" s="6" t="s">
        <v>330</v>
      </c>
      <c r="B101" s="6" t="s">
        <v>14</v>
      </c>
      <c r="C101" s="6" t="s">
        <v>55</v>
      </c>
      <c r="D101" s="7">
        <v>46131.519988425927</v>
      </c>
      <c r="E101" s="6" t="s">
        <v>609</v>
      </c>
      <c r="F101" s="6" t="s">
        <v>40</v>
      </c>
      <c r="G101" s="6" t="s">
        <v>331</v>
      </c>
      <c r="H101" s="6" t="s">
        <v>332</v>
      </c>
      <c r="I101" s="7">
        <v>46138.625011574077</v>
      </c>
      <c r="J101" s="7">
        <v>46131.612164351849</v>
      </c>
      <c r="K101" s="6" t="s">
        <v>64</v>
      </c>
      <c r="L101" s="6" t="s">
        <v>109</v>
      </c>
      <c r="M101" s="6" t="s">
        <v>333</v>
      </c>
      <c r="N101" s="7">
        <v>46138.625011574077</v>
      </c>
      <c r="O101" s="12">
        <f>INT(Table1[[#This Row],[sys_created_on]])</f>
        <v>46131</v>
      </c>
    </row>
    <row r="102" spans="1:15" x14ac:dyDescent="0.35">
      <c r="A102" s="6" t="s">
        <v>334</v>
      </c>
      <c r="B102" s="6" t="s">
        <v>14</v>
      </c>
      <c r="C102" s="6" t="s">
        <v>55</v>
      </c>
      <c r="D102" s="7">
        <v>46133.592291666668</v>
      </c>
      <c r="E102" s="6" t="s">
        <v>613</v>
      </c>
      <c r="F102" s="6" t="s">
        <v>40</v>
      </c>
      <c r="G102" s="6" t="s">
        <v>214</v>
      </c>
      <c r="H102" s="6" t="s">
        <v>65</v>
      </c>
      <c r="I102" s="7">
        <v>46140.625358796293</v>
      </c>
      <c r="J102" s="7">
        <v>46133.600335648145</v>
      </c>
      <c r="K102" s="6"/>
      <c r="L102" s="6" t="s">
        <v>43</v>
      </c>
      <c r="M102" s="6" t="s">
        <v>335</v>
      </c>
      <c r="N102" s="7">
        <v>46140.625358796293</v>
      </c>
      <c r="O102" s="12">
        <f>INT(Table1[[#This Row],[sys_created_on]])</f>
        <v>46133</v>
      </c>
    </row>
    <row r="103" spans="1:15" x14ac:dyDescent="0.35">
      <c r="A103" s="6" t="s">
        <v>336</v>
      </c>
      <c r="B103" s="6" t="s">
        <v>14</v>
      </c>
      <c r="C103" s="6" t="s">
        <v>15</v>
      </c>
      <c r="D103" s="7">
        <v>46133.598530092589</v>
      </c>
      <c r="E103" s="6" t="s">
        <v>618</v>
      </c>
      <c r="F103" s="6" t="s">
        <v>40</v>
      </c>
      <c r="G103" s="6" t="s">
        <v>214</v>
      </c>
      <c r="H103" s="6" t="s">
        <v>337</v>
      </c>
      <c r="I103" s="7">
        <v>46143.416817129626</v>
      </c>
      <c r="J103" s="7">
        <v>46136.413576388892</v>
      </c>
      <c r="K103" s="6" t="s">
        <v>131</v>
      </c>
      <c r="L103" s="6" t="s">
        <v>109</v>
      </c>
      <c r="M103" s="6" t="s">
        <v>338</v>
      </c>
      <c r="N103" s="7">
        <v>46143.416805555556</v>
      </c>
      <c r="O103" s="12">
        <f>INT(Table1[[#This Row],[sys_created_on]])</f>
        <v>46133</v>
      </c>
    </row>
    <row r="104" spans="1:15" x14ac:dyDescent="0.35">
      <c r="A104" s="6" t="s">
        <v>339</v>
      </c>
      <c r="B104" s="6" t="s">
        <v>14</v>
      </c>
      <c r="C104" s="6" t="s">
        <v>55</v>
      </c>
      <c r="D104" s="7">
        <v>46133.60597222222</v>
      </c>
      <c r="E104" s="6" t="s">
        <v>613</v>
      </c>
      <c r="F104" s="6" t="s">
        <v>40</v>
      </c>
      <c r="G104" s="6" t="s">
        <v>214</v>
      </c>
      <c r="H104" s="6" t="s">
        <v>65</v>
      </c>
      <c r="I104" s="7">
        <v>46140.625393518516</v>
      </c>
      <c r="J104" s="7">
        <v>46133.611840277779</v>
      </c>
      <c r="K104" s="6"/>
      <c r="L104" s="6" t="s">
        <v>43</v>
      </c>
      <c r="M104" s="6" t="s">
        <v>340</v>
      </c>
      <c r="N104" s="7">
        <v>46140.625393518516</v>
      </c>
      <c r="O104" s="12">
        <f>INT(Table1[[#This Row],[sys_created_on]])</f>
        <v>46133</v>
      </c>
    </row>
    <row r="105" spans="1:15" x14ac:dyDescent="0.35">
      <c r="A105" s="6" t="s">
        <v>341</v>
      </c>
      <c r="B105" s="6" t="s">
        <v>14</v>
      </c>
      <c r="C105" s="6" t="s">
        <v>23</v>
      </c>
      <c r="D105" s="7">
        <v>46133.609629629631</v>
      </c>
      <c r="E105" s="6" t="s">
        <v>619</v>
      </c>
      <c r="F105" s="6" t="s">
        <v>40</v>
      </c>
      <c r="G105" s="6" t="s">
        <v>214</v>
      </c>
      <c r="H105" s="6" t="s">
        <v>342</v>
      </c>
      <c r="I105" s="7">
        <v>46143.417407407411</v>
      </c>
      <c r="J105" s="7">
        <v>46136.414444444446</v>
      </c>
      <c r="K105" s="6" t="s">
        <v>131</v>
      </c>
      <c r="L105" s="6" t="s">
        <v>109</v>
      </c>
      <c r="M105" s="6" t="s">
        <v>338</v>
      </c>
      <c r="N105" s="7">
        <v>46143.417395833334</v>
      </c>
      <c r="O105" s="12">
        <f>INT(Table1[[#This Row],[sys_created_on]])</f>
        <v>46133</v>
      </c>
    </row>
    <row r="106" spans="1:15" x14ac:dyDescent="0.35">
      <c r="A106" s="6" t="s">
        <v>343</v>
      </c>
      <c r="B106" s="6" t="s">
        <v>14</v>
      </c>
      <c r="C106" s="6" t="s">
        <v>55</v>
      </c>
      <c r="D106" s="7">
        <v>46133.610821759263</v>
      </c>
      <c r="E106" s="6" t="s">
        <v>619</v>
      </c>
      <c r="F106" s="6" t="s">
        <v>40</v>
      </c>
      <c r="G106" s="6" t="s">
        <v>214</v>
      </c>
      <c r="H106" s="6" t="s">
        <v>344</v>
      </c>
      <c r="I106" s="7">
        <v>46140.666863425926</v>
      </c>
      <c r="J106" s="7">
        <v>46133.640081018515</v>
      </c>
      <c r="K106" s="6" t="s">
        <v>214</v>
      </c>
      <c r="L106" s="6" t="s">
        <v>109</v>
      </c>
      <c r="M106" s="6" t="s">
        <v>345</v>
      </c>
      <c r="N106" s="7">
        <v>46140.666863425926</v>
      </c>
      <c r="O106" s="12">
        <f>INT(Table1[[#This Row],[sys_created_on]])</f>
        <v>46133</v>
      </c>
    </row>
    <row r="107" spans="1:15" x14ac:dyDescent="0.35">
      <c r="A107" s="6" t="s">
        <v>346</v>
      </c>
      <c r="B107" s="6" t="s">
        <v>14</v>
      </c>
      <c r="C107" s="6" t="s">
        <v>15</v>
      </c>
      <c r="D107" s="7">
        <v>46134.625405092593</v>
      </c>
      <c r="E107" s="6" t="s">
        <v>608</v>
      </c>
      <c r="F107" s="6" t="s">
        <v>16</v>
      </c>
      <c r="G107" s="6" t="s">
        <v>173</v>
      </c>
      <c r="H107" s="6" t="s">
        <v>347</v>
      </c>
      <c r="I107" s="7">
        <v>46142.500405092593</v>
      </c>
      <c r="J107" s="7">
        <v>46135.498981481483</v>
      </c>
      <c r="K107" s="6" t="s">
        <v>97</v>
      </c>
      <c r="L107" s="6" t="s">
        <v>190</v>
      </c>
      <c r="M107" s="6" t="s">
        <v>348</v>
      </c>
      <c r="N107" s="7">
        <v>46142.500405092593</v>
      </c>
      <c r="O107" s="12">
        <f>INT(Table1[[#This Row],[sys_created_on]])</f>
        <v>46134</v>
      </c>
    </row>
    <row r="108" spans="1:15" x14ac:dyDescent="0.35">
      <c r="A108" s="6" t="s">
        <v>349</v>
      </c>
      <c r="B108" s="6" t="s">
        <v>14</v>
      </c>
      <c r="C108" s="6" t="s">
        <v>23</v>
      </c>
      <c r="D108" s="7">
        <v>46135.369421296295</v>
      </c>
      <c r="E108" s="6" t="s">
        <v>608</v>
      </c>
      <c r="F108" s="6" t="s">
        <v>16</v>
      </c>
      <c r="G108" s="6" t="s">
        <v>97</v>
      </c>
      <c r="H108" s="6" t="s">
        <v>350</v>
      </c>
      <c r="I108" s="7">
        <v>46142.54246527778</v>
      </c>
      <c r="J108" s="7">
        <v>46135.530914351853</v>
      </c>
      <c r="K108" s="6" t="s">
        <v>97</v>
      </c>
      <c r="L108" s="6" t="s">
        <v>190</v>
      </c>
      <c r="M108" s="6" t="s">
        <v>351</v>
      </c>
      <c r="N108" s="7">
        <v>46142.54246527778</v>
      </c>
      <c r="O108" s="12">
        <f>INT(Table1[[#This Row],[sys_created_on]])</f>
        <v>46135</v>
      </c>
    </row>
    <row r="109" spans="1:15" x14ac:dyDescent="0.35">
      <c r="A109" s="6" t="s">
        <v>352</v>
      </c>
      <c r="B109" s="6" t="s">
        <v>14</v>
      </c>
      <c r="C109" s="6" t="s">
        <v>15</v>
      </c>
      <c r="D109" s="7">
        <v>46135.656944444447</v>
      </c>
      <c r="E109" s="6" t="s">
        <v>613</v>
      </c>
      <c r="F109" s="6" t="s">
        <v>40</v>
      </c>
      <c r="G109" s="6" t="s">
        <v>131</v>
      </c>
      <c r="H109" s="6" t="s">
        <v>353</v>
      </c>
      <c r="I109" s="7">
        <v>46150.840798611112</v>
      </c>
      <c r="J109" s="7">
        <v>46141.510069444441</v>
      </c>
      <c r="K109" s="6" t="s">
        <v>131</v>
      </c>
      <c r="L109" s="6" t="s">
        <v>109</v>
      </c>
      <c r="M109" s="6" t="s">
        <v>354</v>
      </c>
      <c r="N109" s="7">
        <v>46148.542442129627</v>
      </c>
      <c r="O109" s="12">
        <f>INT(Table1[[#This Row],[sys_created_on]])</f>
        <v>46135</v>
      </c>
    </row>
    <row r="110" spans="1:15" x14ac:dyDescent="0.35">
      <c r="A110" s="6" t="s">
        <v>355</v>
      </c>
      <c r="B110" s="6" t="s">
        <v>14</v>
      </c>
      <c r="C110" s="6" t="s">
        <v>55</v>
      </c>
      <c r="D110" s="7">
        <v>46138.231006944443</v>
      </c>
      <c r="E110" s="6" t="s">
        <v>618</v>
      </c>
      <c r="F110" s="6" t="s">
        <v>40</v>
      </c>
      <c r="G110" s="6" t="s">
        <v>120</v>
      </c>
      <c r="H110" s="6" t="s">
        <v>167</v>
      </c>
      <c r="I110" s="7">
        <v>46145.291701388887</v>
      </c>
      <c r="J110" s="7">
        <v>46138.250752314816</v>
      </c>
      <c r="K110" s="6" t="s">
        <v>120</v>
      </c>
      <c r="L110" s="6" t="s">
        <v>109</v>
      </c>
      <c r="M110" s="6" t="s">
        <v>356</v>
      </c>
      <c r="N110" s="7">
        <v>46145.291701388887</v>
      </c>
      <c r="O110" s="12">
        <f>INT(Table1[[#This Row],[sys_created_on]])</f>
        <v>46138</v>
      </c>
    </row>
    <row r="111" spans="1:15" x14ac:dyDescent="0.35">
      <c r="A111" s="6" t="s">
        <v>357</v>
      </c>
      <c r="B111" s="6" t="s">
        <v>14</v>
      </c>
      <c r="C111" s="6" t="s">
        <v>55</v>
      </c>
      <c r="D111" s="7">
        <v>46138.231145833335</v>
      </c>
      <c r="E111" s="6" t="s">
        <v>618</v>
      </c>
      <c r="F111" s="6" t="s">
        <v>40</v>
      </c>
      <c r="G111" s="6" t="s">
        <v>120</v>
      </c>
      <c r="H111" s="6" t="s">
        <v>167</v>
      </c>
      <c r="I111" s="7">
        <v>46145.250081018516</v>
      </c>
      <c r="J111" s="7">
        <v>46138.233796296299</v>
      </c>
      <c r="K111" s="6"/>
      <c r="L111" s="6" t="s">
        <v>43</v>
      </c>
      <c r="M111" s="6" t="s">
        <v>358</v>
      </c>
      <c r="N111" s="7">
        <v>46145.250081018516</v>
      </c>
      <c r="O111" s="12">
        <f>INT(Table1[[#This Row],[sys_created_on]])</f>
        <v>46138</v>
      </c>
    </row>
    <row r="112" spans="1:15" x14ac:dyDescent="0.35">
      <c r="A112" s="6" t="s">
        <v>359</v>
      </c>
      <c r="B112" s="6" t="s">
        <v>14</v>
      </c>
      <c r="C112" s="6" t="s">
        <v>55</v>
      </c>
      <c r="D112" s="7">
        <v>46138.423900462964</v>
      </c>
      <c r="E112" s="6" t="s">
        <v>613</v>
      </c>
      <c r="F112" s="6" t="s">
        <v>40</v>
      </c>
      <c r="G112" s="6" t="s">
        <v>120</v>
      </c>
      <c r="H112" s="6" t="s">
        <v>65</v>
      </c>
      <c r="I112" s="7">
        <v>46145.458379629628</v>
      </c>
      <c r="J112" s="7">
        <v>46138.426666666666</v>
      </c>
      <c r="K112" s="6" t="s">
        <v>120</v>
      </c>
      <c r="L112" s="6" t="s">
        <v>43</v>
      </c>
      <c r="M112" s="6" t="s">
        <v>360</v>
      </c>
      <c r="N112" s="7">
        <v>46145.458379629628</v>
      </c>
      <c r="O112" s="12">
        <f>INT(Table1[[#This Row],[sys_created_on]])</f>
        <v>46138</v>
      </c>
    </row>
    <row r="113" spans="1:15" x14ac:dyDescent="0.35">
      <c r="A113" s="6" t="s">
        <v>361</v>
      </c>
      <c r="B113" s="6" t="s">
        <v>14</v>
      </c>
      <c r="C113" s="6" t="s">
        <v>55</v>
      </c>
      <c r="D113" s="7">
        <v>46138.424293981479</v>
      </c>
      <c r="E113" s="6" t="s">
        <v>627</v>
      </c>
      <c r="F113" s="6" t="s">
        <v>40</v>
      </c>
      <c r="G113" s="6" t="s">
        <v>120</v>
      </c>
      <c r="H113" s="6" t="s">
        <v>362</v>
      </c>
      <c r="I113" s="7">
        <v>46145.458379629628</v>
      </c>
      <c r="J113" s="7">
        <v>46138.436076388891</v>
      </c>
      <c r="K113" s="6" t="s">
        <v>120</v>
      </c>
      <c r="L113" s="6" t="s">
        <v>109</v>
      </c>
      <c r="M113" s="6" t="s">
        <v>363</v>
      </c>
      <c r="N113" s="7">
        <v>46145.458379629628</v>
      </c>
      <c r="O113" s="12">
        <f>INT(Table1[[#This Row],[sys_created_on]])</f>
        <v>46138</v>
      </c>
    </row>
    <row r="114" spans="1:15" x14ac:dyDescent="0.35">
      <c r="A114" s="6" t="s">
        <v>364</v>
      </c>
      <c r="B114" s="6" t="s">
        <v>14</v>
      </c>
      <c r="C114" s="6" t="s">
        <v>55</v>
      </c>
      <c r="D114" s="7">
        <v>46138.42528935185</v>
      </c>
      <c r="E114" s="6" t="s">
        <v>611</v>
      </c>
      <c r="F114" s="6" t="s">
        <v>40</v>
      </c>
      <c r="G114" s="6" t="s">
        <v>120</v>
      </c>
      <c r="H114" s="6" t="s">
        <v>57</v>
      </c>
      <c r="I114" s="7">
        <v>46145.458391203705</v>
      </c>
      <c r="J114" s="7">
        <v>46138.425625000003</v>
      </c>
      <c r="K114" s="6" t="s">
        <v>120</v>
      </c>
      <c r="L114" s="6" t="s">
        <v>43</v>
      </c>
      <c r="M114" s="6" t="s">
        <v>365</v>
      </c>
      <c r="N114" s="7">
        <v>46145.458391203705</v>
      </c>
      <c r="O114" s="12">
        <f>INT(Table1[[#This Row],[sys_created_on]])</f>
        <v>46138</v>
      </c>
    </row>
    <row r="115" spans="1:15" x14ac:dyDescent="0.35">
      <c r="A115" s="6" t="s">
        <v>366</v>
      </c>
      <c r="B115" s="6" t="s">
        <v>14</v>
      </c>
      <c r="C115" s="6" t="s">
        <v>15</v>
      </c>
      <c r="D115" s="7">
        <v>46139.427187499998</v>
      </c>
      <c r="E115" s="6" t="s">
        <v>613</v>
      </c>
      <c r="F115" s="6" t="s">
        <v>40</v>
      </c>
      <c r="G115" s="6" t="s">
        <v>131</v>
      </c>
      <c r="H115" s="6" t="s">
        <v>367</v>
      </c>
      <c r="I115" s="7">
        <v>46148.41710648148</v>
      </c>
      <c r="J115" s="7">
        <v>46141.406018518515</v>
      </c>
      <c r="K115" s="6" t="s">
        <v>131</v>
      </c>
      <c r="L115" s="6" t="s">
        <v>109</v>
      </c>
      <c r="M115" s="6" t="s">
        <v>368</v>
      </c>
      <c r="N115" s="7">
        <v>46148.417083333334</v>
      </c>
      <c r="O115" s="12">
        <f>INT(Table1[[#This Row],[sys_created_on]])</f>
        <v>46139</v>
      </c>
    </row>
    <row r="116" spans="1:15" x14ac:dyDescent="0.35">
      <c r="A116" s="6" t="s">
        <v>369</v>
      </c>
      <c r="B116" s="6" t="s">
        <v>14</v>
      </c>
      <c r="C116" s="6" t="s">
        <v>15</v>
      </c>
      <c r="D116" s="7">
        <v>46139.427453703705</v>
      </c>
      <c r="E116" s="6" t="s">
        <v>613</v>
      </c>
      <c r="F116" s="6" t="s">
        <v>40</v>
      </c>
      <c r="G116" s="6" t="s">
        <v>131</v>
      </c>
      <c r="H116" s="6" t="s">
        <v>370</v>
      </c>
      <c r="I116" s="7">
        <v>46148.417094907411</v>
      </c>
      <c r="J116" s="7">
        <v>46141.405891203707</v>
      </c>
      <c r="K116" s="6" t="s">
        <v>131</v>
      </c>
      <c r="L116" s="6" t="s">
        <v>109</v>
      </c>
      <c r="M116" s="6" t="s">
        <v>368</v>
      </c>
      <c r="N116" s="7">
        <v>46148.417094907411</v>
      </c>
      <c r="O116" s="12">
        <f>INT(Table1[[#This Row],[sys_created_on]])</f>
        <v>46139</v>
      </c>
    </row>
    <row r="117" spans="1:15" x14ac:dyDescent="0.35">
      <c r="A117" s="6" t="s">
        <v>371</v>
      </c>
      <c r="B117" s="6" t="s">
        <v>14</v>
      </c>
      <c r="C117" s="6" t="s">
        <v>15</v>
      </c>
      <c r="D117" s="7">
        <v>46140.275763888887</v>
      </c>
      <c r="E117" s="6" t="s">
        <v>613</v>
      </c>
      <c r="F117" s="6" t="s">
        <v>40</v>
      </c>
      <c r="G117" s="6" t="s">
        <v>120</v>
      </c>
      <c r="H117" s="6" t="s">
        <v>372</v>
      </c>
      <c r="I117" s="7">
        <v>46148.376377314817</v>
      </c>
      <c r="J117" s="7">
        <v>46141.348287037035</v>
      </c>
      <c r="K117" s="6" t="s">
        <v>120</v>
      </c>
      <c r="L117" s="6" t="s">
        <v>109</v>
      </c>
      <c r="M117" s="6" t="s">
        <v>373</v>
      </c>
      <c r="N117" s="7">
        <v>46148.376377314817</v>
      </c>
      <c r="O117" s="12">
        <f>INT(Table1[[#This Row],[sys_created_on]])</f>
        <v>46140</v>
      </c>
    </row>
    <row r="118" spans="1:15" x14ac:dyDescent="0.35">
      <c r="A118" s="6" t="s">
        <v>374</v>
      </c>
      <c r="B118" s="6" t="s">
        <v>14</v>
      </c>
      <c r="C118" s="6" t="s">
        <v>15</v>
      </c>
      <c r="D118" s="7">
        <v>46140.497037037036</v>
      </c>
      <c r="E118" s="6" t="s">
        <v>608</v>
      </c>
      <c r="F118" s="6" t="s">
        <v>16</v>
      </c>
      <c r="G118" s="6" t="s">
        <v>97</v>
      </c>
      <c r="H118" s="6" t="s">
        <v>375</v>
      </c>
      <c r="I118" s="7">
        <v>46148.458657407406</v>
      </c>
      <c r="J118" s="7">
        <v>46141.437604166669</v>
      </c>
      <c r="K118" s="6" t="s">
        <v>97</v>
      </c>
      <c r="L118" s="6" t="s">
        <v>37</v>
      </c>
      <c r="M118" s="6" t="s">
        <v>376</v>
      </c>
      <c r="N118" s="7">
        <v>46148.458657407406</v>
      </c>
      <c r="O118" s="12">
        <f>INT(Table1[[#This Row],[sys_created_on]])</f>
        <v>46140</v>
      </c>
    </row>
    <row r="119" spans="1:15" x14ac:dyDescent="0.35">
      <c r="A119" s="6" t="s">
        <v>377</v>
      </c>
      <c r="B119" s="6" t="s">
        <v>14</v>
      </c>
      <c r="C119" s="6" t="s">
        <v>23</v>
      </c>
      <c r="D119" s="7">
        <v>46146.344548611109</v>
      </c>
      <c r="E119" s="6" t="s">
        <v>619</v>
      </c>
      <c r="F119" s="6" t="s">
        <v>40</v>
      </c>
      <c r="G119" s="6" t="s">
        <v>131</v>
      </c>
      <c r="H119" s="6" t="s">
        <v>378</v>
      </c>
      <c r="I119" s="7">
        <v>46154.500833333332</v>
      </c>
      <c r="J119" s="7">
        <v>46147.4996875</v>
      </c>
      <c r="K119" s="6" t="s">
        <v>131</v>
      </c>
      <c r="L119" s="6" t="s">
        <v>109</v>
      </c>
      <c r="M119" s="6" t="s">
        <v>379</v>
      </c>
      <c r="N119" s="7">
        <v>46154.500833333332</v>
      </c>
      <c r="O119" s="12">
        <f>INT(Table1[[#This Row],[sys_created_on]])</f>
        <v>46146</v>
      </c>
    </row>
    <row r="120" spans="1:15" x14ac:dyDescent="0.35">
      <c r="A120" s="6" t="s">
        <v>380</v>
      </c>
      <c r="B120" s="6" t="s">
        <v>14</v>
      </c>
      <c r="C120" s="6" t="s">
        <v>15</v>
      </c>
      <c r="D120" s="7">
        <v>46146.694236111114</v>
      </c>
      <c r="E120" s="6" t="s">
        <v>608</v>
      </c>
      <c r="F120" s="6" t="s">
        <v>16</v>
      </c>
      <c r="G120" s="6" t="s">
        <v>17</v>
      </c>
      <c r="H120" s="6" t="s">
        <v>381</v>
      </c>
      <c r="I120" s="7">
        <v>46154.750358796293</v>
      </c>
      <c r="J120" s="7">
        <v>46147.722916666666</v>
      </c>
      <c r="K120" s="6" t="s">
        <v>17</v>
      </c>
      <c r="L120" s="6" t="s">
        <v>20</v>
      </c>
      <c r="M120" s="6" t="s">
        <v>382</v>
      </c>
      <c r="N120" s="7">
        <v>46154.750358796293</v>
      </c>
      <c r="O120" s="12">
        <f>INT(Table1[[#This Row],[sys_created_on]])</f>
        <v>46146</v>
      </c>
    </row>
    <row r="121" spans="1:15" x14ac:dyDescent="0.35">
      <c r="A121" s="6" t="s">
        <v>383</v>
      </c>
      <c r="B121" s="6" t="s">
        <v>14</v>
      </c>
      <c r="C121" s="6" t="s">
        <v>23</v>
      </c>
      <c r="D121" s="7">
        <v>46148.221562500003</v>
      </c>
      <c r="E121" s="6" t="s">
        <v>624</v>
      </c>
      <c r="F121" s="6" t="s">
        <v>16</v>
      </c>
      <c r="G121" s="6" t="s">
        <v>97</v>
      </c>
      <c r="H121" s="6" t="s">
        <v>384</v>
      </c>
      <c r="I121" s="7">
        <v>46155.500983796293</v>
      </c>
      <c r="J121" s="7">
        <v>46148.493287037039</v>
      </c>
      <c r="K121" s="6" t="s">
        <v>97</v>
      </c>
      <c r="L121" s="6" t="s">
        <v>37</v>
      </c>
      <c r="M121" s="6" t="s">
        <v>385</v>
      </c>
      <c r="N121" s="7">
        <v>46155.500983796293</v>
      </c>
      <c r="O121" s="12">
        <f>INT(Table1[[#This Row],[sys_created_on]])</f>
        <v>46148</v>
      </c>
    </row>
    <row r="122" spans="1:15" x14ac:dyDescent="0.35">
      <c r="A122" s="6" t="s">
        <v>386</v>
      </c>
      <c r="B122" s="6" t="s">
        <v>14</v>
      </c>
      <c r="C122" s="6" t="s">
        <v>15</v>
      </c>
      <c r="D122" s="7">
        <v>46149.425671296296</v>
      </c>
      <c r="E122" s="6" t="s">
        <v>619</v>
      </c>
      <c r="F122" s="6" t="s">
        <v>40</v>
      </c>
      <c r="G122" s="6" t="s">
        <v>120</v>
      </c>
      <c r="H122" s="6" t="s">
        <v>387</v>
      </c>
      <c r="I122" s="7">
        <v>46157.375034722223</v>
      </c>
      <c r="J122" s="7">
        <v>46150.343599537038</v>
      </c>
      <c r="K122" s="6" t="s">
        <v>120</v>
      </c>
      <c r="L122" s="6" t="s">
        <v>109</v>
      </c>
      <c r="M122" s="6" t="s">
        <v>388</v>
      </c>
      <c r="N122" s="7">
        <v>46157.375023148146</v>
      </c>
      <c r="O122" s="12">
        <f>INT(Table1[[#This Row],[sys_created_on]])</f>
        <v>46149</v>
      </c>
    </row>
    <row r="123" spans="1:15" x14ac:dyDescent="0.35">
      <c r="A123" s="6" t="s">
        <v>389</v>
      </c>
      <c r="B123" s="6" t="s">
        <v>14</v>
      </c>
      <c r="C123" s="6" t="s">
        <v>15</v>
      </c>
      <c r="D123" s="7">
        <v>46153.698958333334</v>
      </c>
      <c r="E123" s="6" t="s">
        <v>607</v>
      </c>
      <c r="F123" s="6" t="s">
        <v>16</v>
      </c>
      <c r="G123" s="6" t="s">
        <v>17</v>
      </c>
      <c r="H123" s="6" t="s">
        <v>390</v>
      </c>
      <c r="I123" s="7">
        <v>46161.750081018516</v>
      </c>
      <c r="J123" s="7">
        <v>46154.730104166665</v>
      </c>
      <c r="K123" s="6" t="s">
        <v>17</v>
      </c>
      <c r="L123" s="6" t="s">
        <v>114</v>
      </c>
      <c r="M123" s="6" t="s">
        <v>391</v>
      </c>
      <c r="N123" s="7">
        <v>46161.750081018516</v>
      </c>
      <c r="O123" s="12">
        <f>INT(Table1[[#This Row],[sys_created_on]])</f>
        <v>46153</v>
      </c>
    </row>
    <row r="124" spans="1:15" x14ac:dyDescent="0.35">
      <c r="A124" s="6" t="s">
        <v>392</v>
      </c>
      <c r="B124" s="6" t="s">
        <v>14</v>
      </c>
      <c r="C124" s="6" t="s">
        <v>23</v>
      </c>
      <c r="D124" s="7">
        <v>46155.41914351852</v>
      </c>
      <c r="E124" s="6" t="s">
        <v>619</v>
      </c>
      <c r="F124" s="6" t="s">
        <v>40</v>
      </c>
      <c r="G124" s="6" t="s">
        <v>120</v>
      </c>
      <c r="H124" s="6" t="s">
        <v>393</v>
      </c>
      <c r="I124" s="7">
        <v>46162.500173611108</v>
      </c>
      <c r="J124" s="7">
        <v>46155.471018518518</v>
      </c>
      <c r="K124" s="6" t="s">
        <v>120</v>
      </c>
      <c r="L124" s="6" t="s">
        <v>109</v>
      </c>
      <c r="M124" s="6" t="s">
        <v>394</v>
      </c>
      <c r="N124" s="7">
        <v>46162.500162037039</v>
      </c>
      <c r="O124" s="12">
        <f>INT(Table1[[#This Row],[sys_created_on]])</f>
        <v>46155</v>
      </c>
    </row>
    <row r="125" spans="1:15" x14ac:dyDescent="0.35">
      <c r="A125" s="6" t="s">
        <v>395</v>
      </c>
      <c r="B125" s="6" t="s">
        <v>14</v>
      </c>
      <c r="C125" s="6" t="s">
        <v>23</v>
      </c>
      <c r="D125" s="7">
        <v>46155.556157407409</v>
      </c>
      <c r="E125" s="6" t="s">
        <v>619</v>
      </c>
      <c r="F125" s="6" t="s">
        <v>40</v>
      </c>
      <c r="G125" s="6" t="s">
        <v>120</v>
      </c>
      <c r="H125" s="6" t="s">
        <v>396</v>
      </c>
      <c r="I125" s="7">
        <v>46163.375358796293</v>
      </c>
      <c r="J125" s="7">
        <v>46156.352835648147</v>
      </c>
      <c r="K125" s="6" t="s">
        <v>120</v>
      </c>
      <c r="L125" s="6" t="s">
        <v>109</v>
      </c>
      <c r="M125" s="6" t="s">
        <v>397</v>
      </c>
      <c r="N125" s="7">
        <v>46163.375358796293</v>
      </c>
      <c r="O125" s="12">
        <f>INT(Table1[[#This Row],[sys_created_on]])</f>
        <v>46155</v>
      </c>
    </row>
    <row r="126" spans="1:15" x14ac:dyDescent="0.35">
      <c r="A126" s="6" t="s">
        <v>398</v>
      </c>
      <c r="B126" s="6" t="s">
        <v>14</v>
      </c>
      <c r="C126" s="6" t="s">
        <v>15</v>
      </c>
      <c r="D126" s="7">
        <v>46156.368460648147</v>
      </c>
      <c r="E126" s="6" t="s">
        <v>619</v>
      </c>
      <c r="F126" s="6" t="s">
        <v>40</v>
      </c>
      <c r="G126" s="6" t="s">
        <v>131</v>
      </c>
      <c r="H126" s="6" t="s">
        <v>399</v>
      </c>
      <c r="I126" s="7">
        <v>46163.542326388888</v>
      </c>
      <c r="J126" s="7">
        <v>46156.538449074076</v>
      </c>
      <c r="K126" s="6" t="s">
        <v>131</v>
      </c>
      <c r="L126" s="6" t="s">
        <v>33</v>
      </c>
      <c r="M126" s="6" t="s">
        <v>400</v>
      </c>
      <c r="N126" s="7">
        <v>46163.542314814818</v>
      </c>
      <c r="O126" s="12">
        <f>INT(Table1[[#This Row],[sys_created_on]])</f>
        <v>46156</v>
      </c>
    </row>
    <row r="127" spans="1:15" x14ac:dyDescent="0.35">
      <c r="A127" s="6" t="s">
        <v>401</v>
      </c>
      <c r="B127" s="6" t="s">
        <v>14</v>
      </c>
      <c r="C127" s="6" t="s">
        <v>15</v>
      </c>
      <c r="D127" s="7">
        <v>46156.632731481484</v>
      </c>
      <c r="E127" s="6" t="s">
        <v>619</v>
      </c>
      <c r="F127" s="6" t="s">
        <v>40</v>
      </c>
      <c r="G127" s="6" t="s">
        <v>131</v>
      </c>
      <c r="H127" s="6" t="s">
        <v>402</v>
      </c>
      <c r="I127" s="7">
        <v>46183.542175925926</v>
      </c>
      <c r="J127" s="7">
        <v>46176.502754629626</v>
      </c>
      <c r="K127" s="6" t="s">
        <v>41</v>
      </c>
      <c r="L127" s="6" t="s">
        <v>109</v>
      </c>
      <c r="M127" s="6" t="s">
        <v>403</v>
      </c>
      <c r="N127" s="7">
        <v>46183.542083333334</v>
      </c>
      <c r="O127" s="12">
        <f>INT(Table1[[#This Row],[sys_created_on]])</f>
        <v>46156</v>
      </c>
    </row>
    <row r="128" spans="1:15" x14ac:dyDescent="0.35">
      <c r="A128" s="6" t="s">
        <v>404</v>
      </c>
      <c r="B128" s="6" t="s">
        <v>14</v>
      </c>
      <c r="C128" s="6" t="s">
        <v>55</v>
      </c>
      <c r="D128" s="7">
        <v>46159.327476851853</v>
      </c>
      <c r="E128" s="6" t="s">
        <v>618</v>
      </c>
      <c r="F128" s="6" t="s">
        <v>40</v>
      </c>
      <c r="G128" s="6" t="s">
        <v>331</v>
      </c>
      <c r="H128" s="6" t="s">
        <v>167</v>
      </c>
      <c r="I128" s="7">
        <v>46166.375185185185</v>
      </c>
      <c r="J128" s="7">
        <v>46159.351909722223</v>
      </c>
      <c r="K128" s="6" t="s">
        <v>405</v>
      </c>
      <c r="L128" s="6" t="s">
        <v>109</v>
      </c>
      <c r="M128" s="6" t="s">
        <v>406</v>
      </c>
      <c r="N128" s="7">
        <v>46166.375185185185</v>
      </c>
      <c r="O128" s="12">
        <f>INT(Table1[[#This Row],[sys_created_on]])</f>
        <v>46159</v>
      </c>
    </row>
    <row r="129" spans="1:15" x14ac:dyDescent="0.35">
      <c r="A129" s="6" t="s">
        <v>407</v>
      </c>
      <c r="B129" s="6" t="s">
        <v>14</v>
      </c>
      <c r="C129" s="6" t="s">
        <v>15</v>
      </c>
      <c r="D129" s="7">
        <v>46160.235243055555</v>
      </c>
      <c r="E129" s="6" t="s">
        <v>613</v>
      </c>
      <c r="F129" s="6" t="s">
        <v>40</v>
      </c>
      <c r="G129" s="6" t="s">
        <v>131</v>
      </c>
      <c r="H129" s="6" t="s">
        <v>408</v>
      </c>
      <c r="I129" s="7">
        <v>46170.500115740739</v>
      </c>
      <c r="J129" s="7">
        <v>46163.470613425925</v>
      </c>
      <c r="K129" s="6" t="s">
        <v>131</v>
      </c>
      <c r="L129" s="6" t="s">
        <v>109</v>
      </c>
      <c r="M129" s="6" t="s">
        <v>409</v>
      </c>
      <c r="N129" s="7">
        <v>46170.500115740739</v>
      </c>
      <c r="O129" s="12">
        <f>INT(Table1[[#This Row],[sys_created_on]])</f>
        <v>46160</v>
      </c>
    </row>
    <row r="130" spans="1:15" x14ac:dyDescent="0.35">
      <c r="A130" s="6" t="s">
        <v>410</v>
      </c>
      <c r="B130" s="6" t="s">
        <v>14</v>
      </c>
      <c r="C130" s="6" t="s">
        <v>15</v>
      </c>
      <c r="D130" s="7">
        <v>46160.521516203706</v>
      </c>
      <c r="E130" s="6" t="s">
        <v>608</v>
      </c>
      <c r="F130" s="6" t="s">
        <v>16</v>
      </c>
      <c r="G130" s="6" t="s">
        <v>97</v>
      </c>
      <c r="H130" s="6" t="s">
        <v>411</v>
      </c>
      <c r="I130" s="7">
        <v>46170.584016203706</v>
      </c>
      <c r="J130" s="7">
        <v>46163.576747685183</v>
      </c>
      <c r="K130" s="6" t="s">
        <v>97</v>
      </c>
      <c r="L130" s="6" t="s">
        <v>37</v>
      </c>
      <c r="M130" s="6" t="s">
        <v>412</v>
      </c>
      <c r="N130" s="7">
        <v>46170.584016203706</v>
      </c>
      <c r="O130" s="12">
        <f>INT(Table1[[#This Row],[sys_created_on]])</f>
        <v>46160</v>
      </c>
    </row>
    <row r="131" spans="1:15" x14ac:dyDescent="0.35">
      <c r="A131" s="6" t="s">
        <v>413</v>
      </c>
      <c r="B131" s="6" t="s">
        <v>14</v>
      </c>
      <c r="C131" s="6" t="s">
        <v>15</v>
      </c>
      <c r="D131" s="7">
        <v>46161.451412037037</v>
      </c>
      <c r="E131" s="6" t="s">
        <v>619</v>
      </c>
      <c r="F131" s="6" t="s">
        <v>40</v>
      </c>
      <c r="G131" s="6" t="s">
        <v>131</v>
      </c>
      <c r="H131" s="6" t="s">
        <v>414</v>
      </c>
      <c r="I131" s="7">
        <v>46169.542118055557</v>
      </c>
      <c r="J131" s="7">
        <v>46162.530891203707</v>
      </c>
      <c r="K131" s="6" t="s">
        <v>131</v>
      </c>
      <c r="L131" s="6" t="s">
        <v>415</v>
      </c>
      <c r="M131" s="6" t="s">
        <v>416</v>
      </c>
      <c r="N131" s="7">
        <v>46169.542094907411</v>
      </c>
      <c r="O131" s="12">
        <f>INT(Table1[[#This Row],[sys_created_on]])</f>
        <v>46161</v>
      </c>
    </row>
    <row r="132" spans="1:15" x14ac:dyDescent="0.35">
      <c r="A132" s="6" t="s">
        <v>417</v>
      </c>
      <c r="B132" s="6" t="s">
        <v>14</v>
      </c>
      <c r="C132" s="6" t="s">
        <v>15</v>
      </c>
      <c r="D132" s="7">
        <v>46162.282627314817</v>
      </c>
      <c r="E132" s="6" t="s">
        <v>619</v>
      </c>
      <c r="F132" s="6" t="s">
        <v>40</v>
      </c>
      <c r="G132" s="6" t="s">
        <v>131</v>
      </c>
      <c r="H132" s="6" t="s">
        <v>418</v>
      </c>
      <c r="I132" s="7">
        <v>46169.583437499998</v>
      </c>
      <c r="J132" s="7">
        <v>46162.549942129626</v>
      </c>
      <c r="K132" s="6" t="s">
        <v>131</v>
      </c>
      <c r="L132" s="6" t="s">
        <v>109</v>
      </c>
      <c r="M132" s="6" t="s">
        <v>419</v>
      </c>
      <c r="N132" s="7">
        <v>46169.583437499998</v>
      </c>
      <c r="O132" s="12">
        <f>INT(Table1[[#This Row],[sys_created_on]])</f>
        <v>46162</v>
      </c>
    </row>
    <row r="133" spans="1:15" x14ac:dyDescent="0.35">
      <c r="A133" s="6" t="s">
        <v>420</v>
      </c>
      <c r="B133" s="6" t="s">
        <v>14</v>
      </c>
      <c r="C133" s="6" t="s">
        <v>15</v>
      </c>
      <c r="D133" s="7">
        <v>46162.444675925923</v>
      </c>
      <c r="E133" s="6" t="s">
        <v>619</v>
      </c>
      <c r="F133" s="6" t="s">
        <v>40</v>
      </c>
      <c r="G133" s="6" t="s">
        <v>56</v>
      </c>
      <c r="H133" s="6" t="s">
        <v>421</v>
      </c>
      <c r="I133" s="7">
        <v>46169.500381944446</v>
      </c>
      <c r="J133" s="7">
        <v>46162.477083333331</v>
      </c>
      <c r="K133" s="6" t="s">
        <v>56</v>
      </c>
      <c r="L133" s="6" t="s">
        <v>20</v>
      </c>
      <c r="M133" s="6" t="s">
        <v>422</v>
      </c>
      <c r="N133" s="7">
        <v>46169.50037037037</v>
      </c>
      <c r="O133" s="12">
        <f>INT(Table1[[#This Row],[sys_created_on]])</f>
        <v>46162</v>
      </c>
    </row>
    <row r="134" spans="1:15" x14ac:dyDescent="0.35">
      <c r="A134" s="6" t="s">
        <v>423</v>
      </c>
      <c r="B134" s="6" t="s">
        <v>14</v>
      </c>
      <c r="C134" s="6" t="s">
        <v>15</v>
      </c>
      <c r="D134" s="7">
        <v>46164.539131944446</v>
      </c>
      <c r="E134" s="6" t="s">
        <v>608</v>
      </c>
      <c r="F134" s="6" t="s">
        <v>16</v>
      </c>
      <c r="G134" s="6" t="s">
        <v>97</v>
      </c>
      <c r="H134" s="6" t="s">
        <v>424</v>
      </c>
      <c r="I134" s="7">
        <v>46175.417233796295</v>
      </c>
      <c r="J134" s="7">
        <v>46168.408541666664</v>
      </c>
      <c r="K134" s="6" t="s">
        <v>97</v>
      </c>
      <c r="L134" s="6" t="s">
        <v>114</v>
      </c>
      <c r="M134" s="6" t="s">
        <v>425</v>
      </c>
      <c r="N134" s="7">
        <v>46175.417233796295</v>
      </c>
      <c r="O134" s="12">
        <f>INT(Table1[[#This Row],[sys_created_on]])</f>
        <v>46164</v>
      </c>
    </row>
    <row r="135" spans="1:15" x14ac:dyDescent="0.35">
      <c r="A135" s="6" t="s">
        <v>426</v>
      </c>
      <c r="B135" s="6" t="s">
        <v>14</v>
      </c>
      <c r="C135" s="6" t="s">
        <v>23</v>
      </c>
      <c r="D135" s="7">
        <v>46165.607708333337</v>
      </c>
      <c r="E135" s="6" t="s">
        <v>618</v>
      </c>
      <c r="F135" s="6" t="s">
        <v>40</v>
      </c>
      <c r="G135" s="6" t="s">
        <v>120</v>
      </c>
      <c r="H135" s="6" t="s">
        <v>427</v>
      </c>
      <c r="I135" s="7">
        <v>46173.250081018516</v>
      </c>
      <c r="J135" s="7">
        <v>46166.245254629626</v>
      </c>
      <c r="K135" s="6" t="s">
        <v>107</v>
      </c>
      <c r="L135" s="6" t="s">
        <v>109</v>
      </c>
      <c r="M135" s="6" t="s">
        <v>428</v>
      </c>
      <c r="N135" s="7">
        <v>46173.250081018516</v>
      </c>
      <c r="O135" s="12">
        <f>INT(Table1[[#This Row],[sys_created_on]])</f>
        <v>46165</v>
      </c>
    </row>
    <row r="136" spans="1:15" x14ac:dyDescent="0.35">
      <c r="A136" s="6" t="s">
        <v>429</v>
      </c>
      <c r="B136" s="6" t="s">
        <v>14</v>
      </c>
      <c r="C136" s="6" t="s">
        <v>23</v>
      </c>
      <c r="D136" s="7">
        <v>46165.607824074075</v>
      </c>
      <c r="E136" s="6" t="s">
        <v>618</v>
      </c>
      <c r="F136" s="6" t="s">
        <v>40</v>
      </c>
      <c r="G136" s="6" t="s">
        <v>120</v>
      </c>
      <c r="H136" s="6" t="s">
        <v>430</v>
      </c>
      <c r="I136" s="7">
        <v>46173.250069444446</v>
      </c>
      <c r="J136" s="7">
        <v>46166.244166666664</v>
      </c>
      <c r="K136" s="6" t="s">
        <v>107</v>
      </c>
      <c r="L136" s="6" t="s">
        <v>109</v>
      </c>
      <c r="M136" s="6" t="s">
        <v>428</v>
      </c>
      <c r="N136" s="7">
        <v>46173.250069444446</v>
      </c>
      <c r="O136" s="12">
        <f>INT(Table1[[#This Row],[sys_created_on]])</f>
        <v>46165</v>
      </c>
    </row>
    <row r="137" spans="1:15" x14ac:dyDescent="0.35">
      <c r="A137" s="6" t="s">
        <v>431</v>
      </c>
      <c r="B137" s="6" t="s">
        <v>14</v>
      </c>
      <c r="C137" s="6" t="s">
        <v>23</v>
      </c>
      <c r="D137" s="7">
        <v>46165.607893518521</v>
      </c>
      <c r="E137" s="6" t="s">
        <v>617</v>
      </c>
      <c r="F137" s="6" t="s">
        <v>16</v>
      </c>
      <c r="G137" s="6" t="s">
        <v>97</v>
      </c>
      <c r="H137" s="6" t="s">
        <v>432</v>
      </c>
      <c r="I137" s="7">
        <v>46174.333715277775</v>
      </c>
      <c r="J137" s="7">
        <v>46167.310104166667</v>
      </c>
      <c r="K137" s="6" t="s">
        <v>97</v>
      </c>
      <c r="L137" s="6" t="s">
        <v>37</v>
      </c>
      <c r="M137" s="6" t="s">
        <v>433</v>
      </c>
      <c r="N137" s="7">
        <v>46174.333715277775</v>
      </c>
      <c r="O137" s="12">
        <f>INT(Table1[[#This Row],[sys_created_on]])</f>
        <v>46165</v>
      </c>
    </row>
    <row r="138" spans="1:15" x14ac:dyDescent="0.35">
      <c r="A138" s="6" t="s">
        <v>434</v>
      </c>
      <c r="B138" s="6" t="s">
        <v>14</v>
      </c>
      <c r="C138" s="6" t="s">
        <v>23</v>
      </c>
      <c r="D138" s="7">
        <v>46167.786724537036</v>
      </c>
      <c r="E138" s="6" t="s">
        <v>608</v>
      </c>
      <c r="F138" s="6" t="s">
        <v>16</v>
      </c>
      <c r="G138" s="6" t="s">
        <v>97</v>
      </c>
      <c r="H138" s="6" t="s">
        <v>435</v>
      </c>
      <c r="I138" s="7">
        <v>46175.666770833333</v>
      </c>
      <c r="J138" s="7">
        <v>46168.640069444446</v>
      </c>
      <c r="K138" s="6" t="s">
        <v>97</v>
      </c>
      <c r="L138" s="6" t="s">
        <v>114</v>
      </c>
      <c r="M138" s="6" t="s">
        <v>436</v>
      </c>
      <c r="N138" s="7">
        <v>46175.666770833333</v>
      </c>
      <c r="O138" s="12">
        <f>INT(Table1[[#This Row],[sys_created_on]])</f>
        <v>46167</v>
      </c>
    </row>
    <row r="139" spans="1:15" x14ac:dyDescent="0.35">
      <c r="A139" s="6" t="s">
        <v>437</v>
      </c>
      <c r="B139" s="6" t="s">
        <v>14</v>
      </c>
      <c r="C139" s="6" t="s">
        <v>23</v>
      </c>
      <c r="D139" s="7">
        <v>46168.626238425924</v>
      </c>
      <c r="E139" s="6" t="s">
        <v>608</v>
      </c>
      <c r="F139" s="6" t="s">
        <v>16</v>
      </c>
      <c r="G139" s="6" t="s">
        <v>97</v>
      </c>
      <c r="H139" s="6" t="s">
        <v>438</v>
      </c>
      <c r="I139" s="7">
        <v>46177.334733796299</v>
      </c>
      <c r="J139" s="7">
        <v>46170.313842592594</v>
      </c>
      <c r="K139" s="6" t="s">
        <v>233</v>
      </c>
      <c r="L139" s="6" t="s">
        <v>114</v>
      </c>
      <c r="M139" s="6" t="s">
        <v>439</v>
      </c>
      <c r="N139" s="7">
        <v>46177.334733796299</v>
      </c>
      <c r="O139" s="12">
        <f>INT(Table1[[#This Row],[sys_created_on]])</f>
        <v>46168</v>
      </c>
    </row>
    <row r="140" spans="1:15" x14ac:dyDescent="0.35">
      <c r="A140" s="6" t="s">
        <v>440</v>
      </c>
      <c r="B140" s="6" t="s">
        <v>14</v>
      </c>
      <c r="C140" s="6" t="s">
        <v>15</v>
      </c>
      <c r="D140" s="7">
        <v>46169.524780092594</v>
      </c>
      <c r="E140" s="6" t="s">
        <v>608</v>
      </c>
      <c r="F140" s="6" t="s">
        <v>16</v>
      </c>
      <c r="G140" s="6" t="s">
        <v>97</v>
      </c>
      <c r="H140" s="6" t="s">
        <v>441</v>
      </c>
      <c r="I140" s="7">
        <v>46178.417395833334</v>
      </c>
      <c r="J140" s="7">
        <v>46171.411504629628</v>
      </c>
      <c r="K140" s="6" t="s">
        <v>97</v>
      </c>
      <c r="L140" s="6" t="s">
        <v>442</v>
      </c>
      <c r="M140" s="6" t="s">
        <v>443</v>
      </c>
      <c r="N140" s="7">
        <v>46178.417395833334</v>
      </c>
      <c r="O140" s="12">
        <f>INT(Table1[[#This Row],[sys_created_on]])</f>
        <v>46169</v>
      </c>
    </row>
    <row r="141" spans="1:15" x14ac:dyDescent="0.35">
      <c r="A141" s="6" t="s">
        <v>444</v>
      </c>
      <c r="B141" s="6" t="s">
        <v>14</v>
      </c>
      <c r="C141" s="6" t="s">
        <v>15</v>
      </c>
      <c r="D141" s="7">
        <v>46169.623356481483</v>
      </c>
      <c r="E141" s="6" t="s">
        <v>618</v>
      </c>
      <c r="F141" s="6" t="s">
        <v>40</v>
      </c>
      <c r="G141" s="6" t="s">
        <v>56</v>
      </c>
      <c r="H141" s="6" t="s">
        <v>445</v>
      </c>
      <c r="I141" s="7">
        <v>46176.833773148152</v>
      </c>
      <c r="J141" s="7">
        <v>46169.832835648151</v>
      </c>
      <c r="K141" s="6" t="s">
        <v>56</v>
      </c>
      <c r="L141" s="6" t="s">
        <v>20</v>
      </c>
      <c r="M141" s="6" t="s">
        <v>446</v>
      </c>
      <c r="N141" s="7">
        <v>46176.833773148152</v>
      </c>
      <c r="O141" s="12">
        <f>INT(Table1[[#This Row],[sys_created_on]])</f>
        <v>46169</v>
      </c>
    </row>
    <row r="142" spans="1:15" x14ac:dyDescent="0.35">
      <c r="A142" s="6" t="s">
        <v>447</v>
      </c>
      <c r="B142" s="6" t="s">
        <v>14</v>
      </c>
      <c r="C142" s="6" t="s">
        <v>55</v>
      </c>
      <c r="D142" s="7">
        <v>46170.563726851855</v>
      </c>
      <c r="E142" s="6" t="s">
        <v>607</v>
      </c>
      <c r="F142" s="6" t="s">
        <v>16</v>
      </c>
      <c r="G142" s="6" t="s">
        <v>233</v>
      </c>
      <c r="H142" s="6" t="s">
        <v>448</v>
      </c>
      <c r="I142" s="7">
        <v>46178.376215277778</v>
      </c>
      <c r="J142" s="7">
        <v>46171.357361111113</v>
      </c>
      <c r="K142" s="6" t="s">
        <v>17</v>
      </c>
      <c r="L142" s="6" t="s">
        <v>449</v>
      </c>
      <c r="M142" s="6" t="s">
        <v>450</v>
      </c>
      <c r="N142" s="7">
        <v>46178.376215277778</v>
      </c>
      <c r="O142" s="12">
        <f>INT(Table1[[#This Row],[sys_created_on]])</f>
        <v>46170</v>
      </c>
    </row>
    <row r="143" spans="1:15" x14ac:dyDescent="0.35">
      <c r="A143" s="6" t="s">
        <v>451</v>
      </c>
      <c r="B143" s="6" t="s">
        <v>14</v>
      </c>
      <c r="C143" s="6" t="s">
        <v>55</v>
      </c>
      <c r="D143" s="7">
        <v>46170.602858796294</v>
      </c>
      <c r="E143" s="6" t="s">
        <v>607</v>
      </c>
      <c r="F143" s="6" t="s">
        <v>16</v>
      </c>
      <c r="G143" s="6" t="s">
        <v>233</v>
      </c>
      <c r="H143" s="6" t="s">
        <v>452</v>
      </c>
      <c r="I143" s="7">
        <v>46178.375659722224</v>
      </c>
      <c r="J143" s="7">
        <v>46171.356238425928</v>
      </c>
      <c r="K143" s="6" t="s">
        <v>17</v>
      </c>
      <c r="L143" s="6" t="s">
        <v>449</v>
      </c>
      <c r="M143" s="6" t="s">
        <v>450</v>
      </c>
      <c r="N143" s="7">
        <v>46178.375659722224</v>
      </c>
      <c r="O143" s="12">
        <f>INT(Table1[[#This Row],[sys_created_on]])</f>
        <v>46170</v>
      </c>
    </row>
    <row r="144" spans="1:15" x14ac:dyDescent="0.35">
      <c r="A144" s="6" t="s">
        <v>453</v>
      </c>
      <c r="B144" s="6" t="s">
        <v>14</v>
      </c>
      <c r="C144" s="6" t="s">
        <v>15</v>
      </c>
      <c r="D144" s="7">
        <v>46174.407557870371</v>
      </c>
      <c r="E144" s="6" t="s">
        <v>619</v>
      </c>
      <c r="F144" s="6" t="s">
        <v>40</v>
      </c>
      <c r="G144" s="6" t="s">
        <v>131</v>
      </c>
      <c r="H144" s="6" t="s">
        <v>454</v>
      </c>
      <c r="I144" s="7">
        <v>46183.292199074072</v>
      </c>
      <c r="J144" s="7">
        <v>46176.263009259259</v>
      </c>
      <c r="K144" s="6" t="s">
        <v>131</v>
      </c>
      <c r="L144" s="6" t="s">
        <v>109</v>
      </c>
      <c r="M144" s="6" t="s">
        <v>455</v>
      </c>
      <c r="N144" s="7">
        <v>46183.292199074072</v>
      </c>
      <c r="O144" s="12">
        <f>INT(Table1[[#This Row],[sys_created_on]])</f>
        <v>46174</v>
      </c>
    </row>
    <row r="145" spans="1:15" x14ac:dyDescent="0.35">
      <c r="A145" s="6" t="s">
        <v>456</v>
      </c>
      <c r="B145" s="6" t="s">
        <v>14</v>
      </c>
      <c r="C145" s="6" t="s">
        <v>15</v>
      </c>
      <c r="D145" s="7">
        <v>46176.344201388885</v>
      </c>
      <c r="E145" s="6" t="s">
        <v>618</v>
      </c>
      <c r="F145" s="6" t="s">
        <v>40</v>
      </c>
      <c r="G145" s="6" t="s">
        <v>131</v>
      </c>
      <c r="H145" s="6" t="s">
        <v>457</v>
      </c>
      <c r="I145" s="7">
        <v>46189.500520833331</v>
      </c>
      <c r="J145" s="7">
        <v>46182.481608796297</v>
      </c>
      <c r="K145" s="6" t="s">
        <v>131</v>
      </c>
      <c r="L145" s="6" t="s">
        <v>109</v>
      </c>
      <c r="M145" s="6" t="s">
        <v>458</v>
      </c>
      <c r="N145" s="7">
        <v>46189.500497685185</v>
      </c>
      <c r="O145" s="12">
        <f>INT(Table1[[#This Row],[sys_created_on]])</f>
        <v>46176</v>
      </c>
    </row>
    <row r="146" spans="1:15" x14ac:dyDescent="0.35">
      <c r="A146" s="6" t="s">
        <v>459</v>
      </c>
      <c r="B146" s="6" t="s">
        <v>14</v>
      </c>
      <c r="C146" s="6" t="s">
        <v>23</v>
      </c>
      <c r="D146" s="7">
        <v>46177.417118055557</v>
      </c>
      <c r="E146" s="6" t="s">
        <v>608</v>
      </c>
      <c r="F146" s="6" t="s">
        <v>16</v>
      </c>
      <c r="G146" s="6" t="s">
        <v>97</v>
      </c>
      <c r="H146" s="6" t="s">
        <v>460</v>
      </c>
      <c r="I146" s="7">
        <v>46188.292384259257</v>
      </c>
      <c r="J146" s="7">
        <v>46181.288912037038</v>
      </c>
      <c r="K146" s="6" t="s">
        <v>97</v>
      </c>
      <c r="L146" s="6" t="s">
        <v>190</v>
      </c>
      <c r="M146" s="6" t="s">
        <v>461</v>
      </c>
      <c r="N146" s="7">
        <v>46188.292384259257</v>
      </c>
      <c r="O146" s="12">
        <f>INT(Table1[[#This Row],[sys_created_on]])</f>
        <v>46177</v>
      </c>
    </row>
    <row r="147" spans="1:15" x14ac:dyDescent="0.35">
      <c r="A147" s="6" t="s">
        <v>462</v>
      </c>
      <c r="B147" s="6" t="s">
        <v>14</v>
      </c>
      <c r="C147" s="6" t="s">
        <v>15</v>
      </c>
      <c r="D147" s="7">
        <v>46183.296388888892</v>
      </c>
      <c r="E147" s="6" t="s">
        <v>619</v>
      </c>
      <c r="F147" s="6" t="s">
        <v>40</v>
      </c>
      <c r="G147" s="6" t="s">
        <v>120</v>
      </c>
      <c r="H147" s="6" t="s">
        <v>463</v>
      </c>
      <c r="I147" s="7">
        <v>46190.375393518516</v>
      </c>
      <c r="J147" s="7">
        <v>46183.374444444446</v>
      </c>
      <c r="K147" s="6" t="s">
        <v>131</v>
      </c>
      <c r="L147" s="6" t="s">
        <v>20</v>
      </c>
      <c r="M147" s="6" t="s">
        <v>464</v>
      </c>
      <c r="N147" s="7">
        <v>46190.3753125</v>
      </c>
      <c r="O147" s="12">
        <f>INT(Table1[[#This Row],[sys_created_on]])</f>
        <v>46183</v>
      </c>
    </row>
    <row r="148" spans="1:15" x14ac:dyDescent="0.35">
      <c r="A148" s="6" t="s">
        <v>465</v>
      </c>
      <c r="B148" s="6" t="s">
        <v>14</v>
      </c>
      <c r="C148" s="6" t="s">
        <v>55</v>
      </c>
      <c r="D148" s="7">
        <v>46183.308379629627</v>
      </c>
      <c r="E148" s="6" t="s">
        <v>608</v>
      </c>
      <c r="F148" s="6" t="s">
        <v>16</v>
      </c>
      <c r="G148" s="6" t="s">
        <v>331</v>
      </c>
      <c r="H148" s="6" t="s">
        <v>466</v>
      </c>
      <c r="I148" s="7">
        <v>46190.416875000003</v>
      </c>
      <c r="J148" s="7">
        <v>46183.391516203701</v>
      </c>
      <c r="K148" s="6" t="s">
        <v>97</v>
      </c>
      <c r="L148" s="6" t="s">
        <v>442</v>
      </c>
      <c r="M148" s="6" t="s">
        <v>467</v>
      </c>
      <c r="N148" s="7">
        <v>46190.416875000003</v>
      </c>
      <c r="O148" s="12">
        <f>INT(Table1[[#This Row],[sys_created_on]])</f>
        <v>46183</v>
      </c>
    </row>
    <row r="149" spans="1:15" x14ac:dyDescent="0.35">
      <c r="A149" s="6" t="s">
        <v>468</v>
      </c>
      <c r="B149" s="6" t="s">
        <v>14</v>
      </c>
      <c r="C149" s="6" t="s">
        <v>15</v>
      </c>
      <c r="D149" s="7">
        <v>46183.330891203703</v>
      </c>
      <c r="E149" s="6" t="s">
        <v>618</v>
      </c>
      <c r="F149" s="6" t="s">
        <v>40</v>
      </c>
      <c r="G149" s="6" t="s">
        <v>131</v>
      </c>
      <c r="H149" s="6" t="s">
        <v>469</v>
      </c>
      <c r="I149" s="7">
        <v>46190.458865740744</v>
      </c>
      <c r="J149" s="7">
        <v>46183.430868055555</v>
      </c>
      <c r="K149" s="6" t="s">
        <v>131</v>
      </c>
      <c r="L149" s="6" t="s">
        <v>20</v>
      </c>
      <c r="M149" s="6" t="s">
        <v>470</v>
      </c>
      <c r="N149" s="7">
        <v>46190.45884259259</v>
      </c>
      <c r="O149" s="12">
        <f>INT(Table1[[#This Row],[sys_created_on]])</f>
        <v>46183</v>
      </c>
    </row>
    <row r="150" spans="1:15" x14ac:dyDescent="0.35">
      <c r="A150" s="6" t="s">
        <v>471</v>
      </c>
      <c r="B150" s="6" t="s">
        <v>14</v>
      </c>
      <c r="C150" s="6" t="s">
        <v>23</v>
      </c>
      <c r="D150" s="7">
        <v>46183.575358796297</v>
      </c>
      <c r="E150" s="6" t="s">
        <v>619</v>
      </c>
      <c r="F150" s="6" t="s">
        <v>40</v>
      </c>
      <c r="G150" s="6" t="s">
        <v>41</v>
      </c>
      <c r="H150" s="6" t="s">
        <v>472</v>
      </c>
      <c r="I150" s="7">
        <v>46190.66679398148</v>
      </c>
      <c r="J150" s="7">
        <v>46183.628460648149</v>
      </c>
      <c r="K150" s="6" t="s">
        <v>41</v>
      </c>
      <c r="L150" s="6" t="s">
        <v>190</v>
      </c>
      <c r="M150" s="6" t="s">
        <v>473</v>
      </c>
      <c r="N150" s="7">
        <v>46190.66678240741</v>
      </c>
      <c r="O150" s="12">
        <f>INT(Table1[[#This Row],[sys_created_on]])</f>
        <v>46183</v>
      </c>
    </row>
    <row r="151" spans="1:15" x14ac:dyDescent="0.35">
      <c r="A151" s="6" t="s">
        <v>474</v>
      </c>
      <c r="B151" s="6" t="s">
        <v>14</v>
      </c>
      <c r="C151" s="6" t="s">
        <v>15</v>
      </c>
      <c r="D151" s="7">
        <v>46184.327673611115</v>
      </c>
      <c r="E151" s="6" t="s">
        <v>619</v>
      </c>
      <c r="F151" s="6" t="s">
        <v>40</v>
      </c>
      <c r="G151" s="6" t="s">
        <v>120</v>
      </c>
      <c r="H151" s="6" t="s">
        <v>475</v>
      </c>
      <c r="I151" s="7">
        <v>46191.416724537034</v>
      </c>
      <c r="J151" s="7">
        <v>46184.375833333332</v>
      </c>
      <c r="K151" s="6" t="s">
        <v>131</v>
      </c>
      <c r="L151" s="6" t="s">
        <v>442</v>
      </c>
      <c r="M151" s="6" t="s">
        <v>476</v>
      </c>
      <c r="N151" s="7">
        <v>46191.416712962964</v>
      </c>
      <c r="O151" s="12">
        <f>INT(Table1[[#This Row],[sys_created_on]])</f>
        <v>46184</v>
      </c>
    </row>
    <row r="152" spans="1:15" x14ac:dyDescent="0.35">
      <c r="A152" s="6" t="s">
        <v>477</v>
      </c>
      <c r="B152" s="6" t="s">
        <v>14</v>
      </c>
      <c r="C152" s="6" t="s">
        <v>15</v>
      </c>
      <c r="D152" s="7">
        <v>46185.514513888891</v>
      </c>
      <c r="E152" s="6" t="s">
        <v>610</v>
      </c>
      <c r="F152" s="6" t="s">
        <v>49</v>
      </c>
      <c r="G152" s="6" t="s">
        <v>146</v>
      </c>
      <c r="H152" s="6" t="s">
        <v>478</v>
      </c>
      <c r="I152" s="7">
        <v>46195.458472222221</v>
      </c>
      <c r="J152" s="7">
        <v>46188.421643518515</v>
      </c>
      <c r="K152" s="6" t="s">
        <v>146</v>
      </c>
      <c r="L152" s="6" t="s">
        <v>125</v>
      </c>
      <c r="M152" s="6" t="s">
        <v>479</v>
      </c>
      <c r="N152" s="7">
        <v>46195.458472222221</v>
      </c>
      <c r="O152" s="12">
        <f>INT(Table1[[#This Row],[sys_created_on]])</f>
        <v>46185</v>
      </c>
    </row>
    <row r="153" spans="1:15" x14ac:dyDescent="0.35">
      <c r="A153" s="6" t="s">
        <v>480</v>
      </c>
      <c r="B153" s="6" t="s">
        <v>14</v>
      </c>
      <c r="C153" s="6" t="s">
        <v>15</v>
      </c>
      <c r="D153" s="7">
        <v>46185.632719907408</v>
      </c>
      <c r="E153" s="6" t="s">
        <v>619</v>
      </c>
      <c r="F153" s="6" t="s">
        <v>40</v>
      </c>
      <c r="G153" s="6" t="s">
        <v>56</v>
      </c>
      <c r="H153" s="6" t="s">
        <v>481</v>
      </c>
      <c r="I153" s="7">
        <v>46192.708379629628</v>
      </c>
      <c r="J153" s="7">
        <v>46185.677569444444</v>
      </c>
      <c r="K153" s="6" t="s">
        <v>56</v>
      </c>
      <c r="L153" s="6" t="s">
        <v>20</v>
      </c>
      <c r="M153" s="6" t="s">
        <v>482</v>
      </c>
      <c r="N153" s="7">
        <v>46192.708368055559</v>
      </c>
      <c r="O153" s="12">
        <f>INT(Table1[[#This Row],[sys_created_on]])</f>
        <v>46185</v>
      </c>
    </row>
    <row r="154" spans="1:15" x14ac:dyDescent="0.35">
      <c r="A154" s="6" t="s">
        <v>483</v>
      </c>
      <c r="B154" s="6" t="s">
        <v>14</v>
      </c>
      <c r="C154" s="6" t="s">
        <v>23</v>
      </c>
      <c r="D154" s="7">
        <v>46188.415636574071</v>
      </c>
      <c r="E154" s="6" t="s">
        <v>608</v>
      </c>
      <c r="F154" s="6" t="s">
        <v>16</v>
      </c>
      <c r="G154" s="6" t="s">
        <v>77</v>
      </c>
      <c r="H154" s="6" t="s">
        <v>484</v>
      </c>
      <c r="I154" s="7">
        <v>46195.625243055554</v>
      </c>
      <c r="J154" s="7">
        <v>46188.589583333334</v>
      </c>
      <c r="K154" s="6" t="s">
        <v>233</v>
      </c>
      <c r="L154" s="6" t="s">
        <v>37</v>
      </c>
      <c r="M154" s="6" t="s">
        <v>485</v>
      </c>
      <c r="N154" s="7">
        <v>46195.625243055554</v>
      </c>
      <c r="O154" s="12">
        <f>INT(Table1[[#This Row],[sys_created_on]])</f>
        <v>46188</v>
      </c>
    </row>
    <row r="155" spans="1:15" x14ac:dyDescent="0.35">
      <c r="A155" s="6" t="s">
        <v>486</v>
      </c>
      <c r="B155" s="6" t="s">
        <v>14</v>
      </c>
      <c r="C155" s="6" t="s">
        <v>15</v>
      </c>
      <c r="D155" s="7">
        <v>46188.748969907407</v>
      </c>
      <c r="E155" s="6" t="s">
        <v>608</v>
      </c>
      <c r="F155" s="6" t="s">
        <v>16</v>
      </c>
      <c r="G155" s="6" t="s">
        <v>487</v>
      </c>
      <c r="H155" s="6" t="s">
        <v>488</v>
      </c>
      <c r="I155" s="7">
        <v>46197.583402777775</v>
      </c>
      <c r="J155" s="7">
        <v>46190.544189814813</v>
      </c>
      <c r="K155" s="6" t="s">
        <v>97</v>
      </c>
      <c r="L155" s="6" t="s">
        <v>37</v>
      </c>
      <c r="M155" s="6" t="s">
        <v>489</v>
      </c>
      <c r="N155" s="7">
        <v>46197.583402777775</v>
      </c>
      <c r="O155" s="12">
        <f>INT(Table1[[#This Row],[sys_created_on]])</f>
        <v>46188</v>
      </c>
    </row>
    <row r="156" spans="1:15" x14ac:dyDescent="0.35">
      <c r="A156" s="6" t="s">
        <v>490</v>
      </c>
      <c r="B156" s="6" t="s">
        <v>14</v>
      </c>
      <c r="C156" s="6" t="s">
        <v>15</v>
      </c>
      <c r="D156" s="7">
        <v>46189.435578703706</v>
      </c>
      <c r="E156" s="6" t="s">
        <v>613</v>
      </c>
      <c r="F156" s="6" t="s">
        <v>40</v>
      </c>
      <c r="G156" s="6" t="s">
        <v>131</v>
      </c>
      <c r="H156" s="6" t="s">
        <v>491</v>
      </c>
      <c r="I156" s="7">
        <v>46203.625578703701</v>
      </c>
      <c r="J156" s="7">
        <v>46196.590370370373</v>
      </c>
      <c r="K156" s="6" t="s">
        <v>131</v>
      </c>
      <c r="L156" s="6" t="s">
        <v>52</v>
      </c>
      <c r="M156" s="6" t="s">
        <v>492</v>
      </c>
      <c r="N156" s="7">
        <v>46203.625196759262</v>
      </c>
      <c r="O156" s="12">
        <f>INT(Table1[[#This Row],[sys_created_on]])</f>
        <v>46189</v>
      </c>
    </row>
    <row r="157" spans="1:15" x14ac:dyDescent="0.35">
      <c r="A157" s="6" t="s">
        <v>493</v>
      </c>
      <c r="B157" s="6" t="s">
        <v>14</v>
      </c>
      <c r="C157" s="6" t="s">
        <v>15</v>
      </c>
      <c r="D157" s="7">
        <v>46190.229097222225</v>
      </c>
      <c r="E157" s="6" t="s">
        <v>619</v>
      </c>
      <c r="F157" s="6" t="s">
        <v>40</v>
      </c>
      <c r="G157" s="6" t="s">
        <v>131</v>
      </c>
      <c r="H157" s="6" t="s">
        <v>494</v>
      </c>
      <c r="I157" s="7">
        <v>46219.542303240742</v>
      </c>
      <c r="J157" s="7">
        <v>46212.517743055556</v>
      </c>
      <c r="K157" s="6" t="s">
        <v>131</v>
      </c>
      <c r="L157" s="6" t="s">
        <v>109</v>
      </c>
      <c r="M157" s="6" t="s">
        <v>495</v>
      </c>
      <c r="N157" s="7">
        <v>46219.542303240742</v>
      </c>
      <c r="O157" s="12">
        <f>INT(Table1[[#This Row],[sys_created_on]])</f>
        <v>46190</v>
      </c>
    </row>
    <row r="158" spans="1:15" x14ac:dyDescent="0.35">
      <c r="A158" s="6" t="s">
        <v>496</v>
      </c>
      <c r="B158" s="6" t="s">
        <v>14</v>
      </c>
      <c r="C158" s="6" t="s">
        <v>15</v>
      </c>
      <c r="D158" s="7">
        <v>46190.384432870371</v>
      </c>
      <c r="E158" s="6" t="s">
        <v>608</v>
      </c>
      <c r="F158" s="6" t="s">
        <v>16</v>
      </c>
      <c r="G158" s="6" t="s">
        <v>17</v>
      </c>
      <c r="H158" s="6" t="s">
        <v>497</v>
      </c>
      <c r="I158" s="7">
        <v>46197.459016203706</v>
      </c>
      <c r="J158" s="7">
        <v>46190.458078703705</v>
      </c>
      <c r="K158" s="6" t="s">
        <v>17</v>
      </c>
      <c r="L158" s="6" t="s">
        <v>20</v>
      </c>
      <c r="M158" s="6" t="s">
        <v>498</v>
      </c>
      <c r="N158" s="7">
        <v>46197.459004629629</v>
      </c>
      <c r="O158" s="12">
        <f>INT(Table1[[#This Row],[sys_created_on]])</f>
        <v>46190</v>
      </c>
    </row>
    <row r="159" spans="1:15" x14ac:dyDescent="0.35">
      <c r="A159" s="6" t="s">
        <v>499</v>
      </c>
      <c r="B159" s="6" t="s">
        <v>14</v>
      </c>
      <c r="C159" s="6" t="s">
        <v>23</v>
      </c>
      <c r="D159" s="7">
        <v>46191.572002314817</v>
      </c>
      <c r="E159" s="6" t="s">
        <v>608</v>
      </c>
      <c r="F159" s="6" t="s">
        <v>16</v>
      </c>
      <c r="G159" s="6" t="s">
        <v>17</v>
      </c>
      <c r="H159" s="6" t="s">
        <v>500</v>
      </c>
      <c r="I159" s="7">
        <v>46199.500543981485</v>
      </c>
      <c r="J159" s="7">
        <v>46192.486620370371</v>
      </c>
      <c r="K159" s="6" t="s">
        <v>97</v>
      </c>
      <c r="L159" s="6" t="s">
        <v>442</v>
      </c>
      <c r="M159" s="6" t="s">
        <v>501</v>
      </c>
      <c r="N159" s="7">
        <v>46199.500532407408</v>
      </c>
      <c r="O159" s="12">
        <f>INT(Table1[[#This Row],[sys_created_on]])</f>
        <v>46191</v>
      </c>
    </row>
    <row r="160" spans="1:15" x14ac:dyDescent="0.35">
      <c r="A160" s="6" t="s">
        <v>502</v>
      </c>
      <c r="B160" s="6" t="s">
        <v>14</v>
      </c>
      <c r="C160" s="6" t="s">
        <v>15</v>
      </c>
      <c r="D160" s="7">
        <v>46196.597743055558</v>
      </c>
      <c r="E160" s="6" t="s">
        <v>618</v>
      </c>
      <c r="F160" s="6" t="s">
        <v>40</v>
      </c>
      <c r="G160" s="6" t="s">
        <v>131</v>
      </c>
      <c r="H160" s="6" t="s">
        <v>503</v>
      </c>
      <c r="I160" s="7">
        <v>46206.459143518521</v>
      </c>
      <c r="J160" s="7">
        <v>46199.447175925925</v>
      </c>
      <c r="K160" s="6" t="s">
        <v>131</v>
      </c>
      <c r="L160" s="6" t="s">
        <v>125</v>
      </c>
      <c r="M160" s="6" t="s">
        <v>504</v>
      </c>
      <c r="N160" s="7">
        <v>46206.459131944444</v>
      </c>
      <c r="O160" s="12">
        <f>INT(Table1[[#This Row],[sys_created_on]])</f>
        <v>46196</v>
      </c>
    </row>
    <row r="161" spans="1:15" x14ac:dyDescent="0.35">
      <c r="A161" s="6" t="s">
        <v>505</v>
      </c>
      <c r="B161" s="6" t="s">
        <v>14</v>
      </c>
      <c r="C161" s="6" t="s">
        <v>15</v>
      </c>
      <c r="D161" s="7">
        <v>46198.088379629633</v>
      </c>
      <c r="E161" s="6" t="s">
        <v>608</v>
      </c>
      <c r="F161" s="6" t="s">
        <v>16</v>
      </c>
      <c r="G161" s="6" t="s">
        <v>97</v>
      </c>
      <c r="H161" s="6" t="s">
        <v>506</v>
      </c>
      <c r="I161" s="7">
        <v>46205.54178240741</v>
      </c>
      <c r="J161" s="7">
        <v>46198.504710648151</v>
      </c>
      <c r="K161" s="6" t="s">
        <v>97</v>
      </c>
      <c r="L161" s="6" t="s">
        <v>37</v>
      </c>
      <c r="M161" s="6" t="s">
        <v>507</v>
      </c>
      <c r="N161" s="7">
        <v>46205.54178240741</v>
      </c>
      <c r="O161" s="12">
        <f>INT(Table1[[#This Row],[sys_created_on]])</f>
        <v>46198</v>
      </c>
    </row>
    <row r="162" spans="1:15" x14ac:dyDescent="0.35">
      <c r="A162" s="6" t="s">
        <v>508</v>
      </c>
      <c r="B162" s="6" t="s">
        <v>14</v>
      </c>
      <c r="C162" s="6" t="s">
        <v>15</v>
      </c>
      <c r="D162" s="7">
        <v>46199.462465277778</v>
      </c>
      <c r="E162" s="6" t="s">
        <v>615</v>
      </c>
      <c r="F162" s="6" t="s">
        <v>16</v>
      </c>
      <c r="G162" s="6" t="s">
        <v>113</v>
      </c>
      <c r="H162" s="6" t="s">
        <v>509</v>
      </c>
      <c r="I162" s="7">
        <v>46206.500532407408</v>
      </c>
      <c r="J162" s="7">
        <v>46199.479687500003</v>
      </c>
      <c r="K162" s="6" t="s">
        <v>113</v>
      </c>
      <c r="L162" s="6" t="s">
        <v>33</v>
      </c>
      <c r="M162" s="6" t="s">
        <v>510</v>
      </c>
      <c r="N162" s="7">
        <v>46206.500532407408</v>
      </c>
      <c r="O162" s="12">
        <f>INT(Table1[[#This Row],[sys_created_on]])</f>
        <v>46199</v>
      </c>
    </row>
    <row r="163" spans="1:15" x14ac:dyDescent="0.35">
      <c r="A163" s="6" t="s">
        <v>511</v>
      </c>
      <c r="B163" s="6" t="s">
        <v>14</v>
      </c>
      <c r="C163" s="6" t="s">
        <v>15</v>
      </c>
      <c r="D163" s="7">
        <v>46202.26834490741</v>
      </c>
      <c r="E163" s="6" t="s">
        <v>628</v>
      </c>
      <c r="F163" s="6" t="s">
        <v>16</v>
      </c>
      <c r="G163" s="6" t="s">
        <v>97</v>
      </c>
      <c r="H163" s="6" t="s">
        <v>512</v>
      </c>
      <c r="I163" s="7">
        <v>46211.250532407408</v>
      </c>
      <c r="J163" s="7">
        <v>46204.209687499999</v>
      </c>
      <c r="K163" s="6" t="s">
        <v>97</v>
      </c>
      <c r="L163" s="6" t="s">
        <v>37</v>
      </c>
      <c r="M163" s="6" t="s">
        <v>513</v>
      </c>
      <c r="N163" s="7">
        <v>46211.250532407408</v>
      </c>
      <c r="O163" s="12">
        <f>INT(Table1[[#This Row],[sys_created_on]])</f>
        <v>46202</v>
      </c>
    </row>
    <row r="164" spans="1:15" x14ac:dyDescent="0.35">
      <c r="A164" s="6" t="s">
        <v>514</v>
      </c>
      <c r="B164" s="6" t="s">
        <v>14</v>
      </c>
      <c r="C164" s="6" t="s">
        <v>55</v>
      </c>
      <c r="D164" s="7">
        <v>46204.625196759262</v>
      </c>
      <c r="E164" s="6" t="s">
        <v>619</v>
      </c>
      <c r="F164" s="6" t="s">
        <v>40</v>
      </c>
      <c r="G164" s="6" t="s">
        <v>214</v>
      </c>
      <c r="H164" s="6" t="s">
        <v>515</v>
      </c>
      <c r="I164" s="7">
        <v>46211.666932870372</v>
      </c>
      <c r="J164" s="7">
        <v>46204.648692129631</v>
      </c>
      <c r="K164" s="6" t="s">
        <v>214</v>
      </c>
      <c r="L164" s="6" t="s">
        <v>190</v>
      </c>
      <c r="M164" s="6" t="s">
        <v>516</v>
      </c>
      <c r="N164" s="7">
        <v>46211.666932870372</v>
      </c>
      <c r="O164" s="12">
        <f>INT(Table1[[#This Row],[sys_created_on]])</f>
        <v>46204</v>
      </c>
    </row>
    <row r="165" spans="1:15" x14ac:dyDescent="0.35">
      <c r="A165" s="6" t="s">
        <v>517</v>
      </c>
      <c r="B165" s="6" t="s">
        <v>14</v>
      </c>
      <c r="C165" s="6" t="s">
        <v>15</v>
      </c>
      <c r="D165" s="7">
        <v>46205.621157407404</v>
      </c>
      <c r="E165" s="6" t="s">
        <v>629</v>
      </c>
      <c r="F165" s="6" t="s">
        <v>16</v>
      </c>
      <c r="G165" s="6" t="s">
        <v>518</v>
      </c>
      <c r="H165" s="6" t="s">
        <v>519</v>
      </c>
      <c r="I165" s="7">
        <v>46224.375</v>
      </c>
      <c r="J165" s="7">
        <v>46217.36136574074</v>
      </c>
      <c r="K165" s="6" t="s">
        <v>520</v>
      </c>
      <c r="L165" s="6" t="s">
        <v>137</v>
      </c>
      <c r="M165" s="6" t="s">
        <v>521</v>
      </c>
      <c r="N165" s="7">
        <v>46224.375</v>
      </c>
      <c r="O165" s="12">
        <f>INT(Table1[[#This Row],[sys_created_on]])</f>
        <v>46205</v>
      </c>
    </row>
    <row r="166" spans="1:15" x14ac:dyDescent="0.35">
      <c r="A166" s="6" t="s">
        <v>522</v>
      </c>
      <c r="B166" s="6" t="s">
        <v>14</v>
      </c>
      <c r="C166" s="6" t="s">
        <v>55</v>
      </c>
      <c r="D166" s="7">
        <v>46206.269247685188</v>
      </c>
      <c r="E166" s="6" t="s">
        <v>619</v>
      </c>
      <c r="F166" s="6" t="s">
        <v>40</v>
      </c>
      <c r="G166" s="6" t="s">
        <v>120</v>
      </c>
      <c r="H166" s="6" t="s">
        <v>523</v>
      </c>
      <c r="I166" s="7">
        <v>46213.29215277778</v>
      </c>
      <c r="J166" s="7">
        <v>46206.290497685186</v>
      </c>
      <c r="K166" s="6" t="s">
        <v>120</v>
      </c>
      <c r="L166" s="6" t="s">
        <v>137</v>
      </c>
      <c r="M166" s="6" t="s">
        <v>524</v>
      </c>
      <c r="N166" s="7">
        <v>46213.29215277778</v>
      </c>
      <c r="O166" s="12">
        <f>INT(Table1[[#This Row],[sys_created_on]])</f>
        <v>46206</v>
      </c>
    </row>
    <row r="167" spans="1:15" x14ac:dyDescent="0.35">
      <c r="A167" s="6" t="s">
        <v>525</v>
      </c>
      <c r="B167" s="6" t="s">
        <v>14</v>
      </c>
      <c r="C167" s="6" t="s">
        <v>15</v>
      </c>
      <c r="D167" s="7">
        <v>46206.592199074075</v>
      </c>
      <c r="E167" s="6" t="s">
        <v>619</v>
      </c>
      <c r="F167" s="6" t="s">
        <v>40</v>
      </c>
      <c r="G167" s="6" t="s">
        <v>131</v>
      </c>
      <c r="H167" s="6" t="s">
        <v>526</v>
      </c>
      <c r="I167" s="7">
        <v>46213.625092592592</v>
      </c>
      <c r="J167" s="7">
        <v>46206.601111111115</v>
      </c>
      <c r="K167" s="6" t="s">
        <v>131</v>
      </c>
      <c r="L167" s="6" t="s">
        <v>527</v>
      </c>
      <c r="M167" s="6" t="s">
        <v>528</v>
      </c>
      <c r="N167" s="7">
        <v>46213.625081018516</v>
      </c>
      <c r="O167" s="12">
        <f>INT(Table1[[#This Row],[sys_created_on]])</f>
        <v>46206</v>
      </c>
    </row>
    <row r="168" spans="1:15" x14ac:dyDescent="0.35">
      <c r="A168" s="6" t="s">
        <v>529</v>
      </c>
      <c r="B168" s="6" t="s">
        <v>14</v>
      </c>
      <c r="C168" s="6" t="s">
        <v>55</v>
      </c>
      <c r="D168" s="7">
        <v>46214.344525462962</v>
      </c>
      <c r="E168" s="6" t="s">
        <v>630</v>
      </c>
      <c r="F168" s="6" t="s">
        <v>16</v>
      </c>
      <c r="G168" s="6" t="s">
        <v>530</v>
      </c>
      <c r="H168" s="6" t="s">
        <v>531</v>
      </c>
      <c r="I168" s="7">
        <v>46221.375162037039</v>
      </c>
      <c r="J168" s="7">
        <v>46214.345451388886</v>
      </c>
      <c r="K168" s="6"/>
      <c r="L168" s="6" t="s">
        <v>43</v>
      </c>
      <c r="M168" s="6" t="s">
        <v>532</v>
      </c>
      <c r="N168" s="7">
        <v>46221.375162037039</v>
      </c>
      <c r="O168" s="12">
        <f>INT(Table1[[#This Row],[sys_created_on]])</f>
        <v>46214</v>
      </c>
    </row>
    <row r="169" spans="1:15" x14ac:dyDescent="0.35">
      <c r="A169" s="6" t="s">
        <v>533</v>
      </c>
      <c r="B169" s="6" t="s">
        <v>14</v>
      </c>
      <c r="C169" s="6" t="s">
        <v>55</v>
      </c>
      <c r="D169" s="7">
        <v>46215.325891203705</v>
      </c>
      <c r="E169" s="6" t="s">
        <v>618</v>
      </c>
      <c r="F169" s="6" t="s">
        <v>40</v>
      </c>
      <c r="G169" s="6" t="s">
        <v>120</v>
      </c>
      <c r="H169" s="6" t="s">
        <v>167</v>
      </c>
      <c r="I169" s="7">
        <v>46222.333449074074</v>
      </c>
      <c r="J169" s="7">
        <v>46215.329293981478</v>
      </c>
      <c r="K169" s="6" t="s">
        <v>120</v>
      </c>
      <c r="L169" s="6" t="s">
        <v>534</v>
      </c>
      <c r="M169" s="6" t="s">
        <v>535</v>
      </c>
      <c r="N169" s="7">
        <v>46222.333449074074</v>
      </c>
      <c r="O169" s="12">
        <f>INT(Table1[[#This Row],[sys_created_on]])</f>
        <v>46215</v>
      </c>
    </row>
    <row r="170" spans="1:15" x14ac:dyDescent="0.35">
      <c r="A170" s="6" t="s">
        <v>536</v>
      </c>
      <c r="B170" s="6" t="s">
        <v>14</v>
      </c>
      <c r="C170" s="6" t="s">
        <v>23</v>
      </c>
      <c r="D170" s="7">
        <v>46219.456643518519</v>
      </c>
      <c r="E170" s="6" t="s">
        <v>608</v>
      </c>
      <c r="F170" s="6" t="s">
        <v>16</v>
      </c>
      <c r="G170" s="6" t="s">
        <v>97</v>
      </c>
      <c r="H170" s="6" t="s">
        <v>537</v>
      </c>
      <c r="I170" s="7">
        <v>46230.417118055557</v>
      </c>
      <c r="J170" s="7">
        <v>46223.384710648148</v>
      </c>
      <c r="K170" s="6" t="s">
        <v>233</v>
      </c>
      <c r="L170" s="6" t="s">
        <v>190</v>
      </c>
      <c r="M170" s="6" t="s">
        <v>538</v>
      </c>
      <c r="N170" s="7">
        <v>46230.417118055557</v>
      </c>
      <c r="O170" s="12">
        <f>INT(Table1[[#This Row],[sys_created_on]])</f>
        <v>46219</v>
      </c>
    </row>
    <row r="171" spans="1:15" x14ac:dyDescent="0.35">
      <c r="A171" s="6" t="s">
        <v>539</v>
      </c>
      <c r="B171" s="6" t="s">
        <v>14</v>
      </c>
      <c r="C171" s="6" t="s">
        <v>55</v>
      </c>
      <c r="D171" s="7">
        <v>46219.499884259261</v>
      </c>
      <c r="E171" s="6" t="s">
        <v>617</v>
      </c>
      <c r="F171" s="6" t="s">
        <v>16</v>
      </c>
      <c r="G171" s="6" t="s">
        <v>80</v>
      </c>
      <c r="H171" s="6" t="s">
        <v>81</v>
      </c>
      <c r="I171" s="7">
        <v>46226.54179398148</v>
      </c>
      <c r="J171" s="7">
        <v>46219.503784722219</v>
      </c>
      <c r="K171" s="6"/>
      <c r="L171" s="6" t="s">
        <v>43</v>
      </c>
      <c r="M171" s="6" t="s">
        <v>540</v>
      </c>
      <c r="N171" s="7">
        <v>46226.54179398148</v>
      </c>
      <c r="O171" s="12">
        <f>INT(Table1[[#This Row],[sys_created_on]])</f>
        <v>46219</v>
      </c>
    </row>
    <row r="172" spans="1:15" x14ac:dyDescent="0.35">
      <c r="A172" s="6" t="s">
        <v>541</v>
      </c>
      <c r="B172" s="6" t="s">
        <v>14</v>
      </c>
      <c r="C172" s="6" t="s">
        <v>55</v>
      </c>
      <c r="D172" s="7">
        <v>46219.507384259261</v>
      </c>
      <c r="E172" s="6" t="s">
        <v>617</v>
      </c>
      <c r="F172" s="6" t="s">
        <v>16</v>
      </c>
      <c r="G172" s="6" t="s">
        <v>80</v>
      </c>
      <c r="H172" s="6" t="s">
        <v>542</v>
      </c>
      <c r="I172" s="7">
        <v>46226.542025462964</v>
      </c>
      <c r="J172" s="7">
        <v>46219.523842592593</v>
      </c>
      <c r="K172" s="6"/>
      <c r="L172" s="6" t="s">
        <v>43</v>
      </c>
      <c r="M172" s="6" t="s">
        <v>543</v>
      </c>
      <c r="N172" s="7">
        <v>46226.542025462964</v>
      </c>
      <c r="O172" s="12">
        <f>INT(Table1[[#This Row],[sys_created_on]])</f>
        <v>46219</v>
      </c>
    </row>
    <row r="173" spans="1:15" x14ac:dyDescent="0.35">
      <c r="A173" s="6" t="s">
        <v>544</v>
      </c>
      <c r="B173" s="6" t="s">
        <v>14</v>
      </c>
      <c r="C173" s="6" t="s">
        <v>55</v>
      </c>
      <c r="D173" s="7">
        <v>46219.523055555554</v>
      </c>
      <c r="E173" s="6" t="s">
        <v>631</v>
      </c>
      <c r="F173" s="6" t="s">
        <v>16</v>
      </c>
      <c r="G173" s="6" t="s">
        <v>113</v>
      </c>
      <c r="H173" s="6" t="s">
        <v>545</v>
      </c>
      <c r="I173" s="7">
        <v>46226.542037037034</v>
      </c>
      <c r="J173" s="7">
        <v>46219.523576388892</v>
      </c>
      <c r="K173" s="6" t="s">
        <v>113</v>
      </c>
      <c r="L173" s="6" t="s">
        <v>43</v>
      </c>
      <c r="M173" s="6" t="s">
        <v>546</v>
      </c>
      <c r="N173" s="7">
        <v>46226.542037037034</v>
      </c>
      <c r="O173" s="12">
        <f>INT(Table1[[#This Row],[sys_created_on]])</f>
        <v>46219</v>
      </c>
    </row>
    <row r="174" spans="1:15" x14ac:dyDescent="0.35">
      <c r="A174" s="6" t="s">
        <v>547</v>
      </c>
      <c r="B174" s="6" t="s">
        <v>14</v>
      </c>
      <c r="C174" s="6" t="s">
        <v>55</v>
      </c>
      <c r="D174" s="7">
        <v>46219.596805555557</v>
      </c>
      <c r="E174" s="6" t="s">
        <v>610</v>
      </c>
      <c r="F174" s="6" t="s">
        <v>49</v>
      </c>
      <c r="G174" s="6" t="s">
        <v>146</v>
      </c>
      <c r="H174" s="6" t="s">
        <v>548</v>
      </c>
      <c r="I174" s="7">
        <v>46226.625601851854</v>
      </c>
      <c r="J174" s="7">
        <v>46219.606342592589</v>
      </c>
      <c r="K174" s="6" t="s">
        <v>146</v>
      </c>
      <c r="L174" s="6" t="s">
        <v>20</v>
      </c>
      <c r="M174" s="6" t="s">
        <v>549</v>
      </c>
      <c r="N174" s="7">
        <v>46226.625601851854</v>
      </c>
      <c r="O174" s="12">
        <f>INT(Table1[[#This Row],[sys_created_on]])</f>
        <v>46219</v>
      </c>
    </row>
    <row r="175" spans="1:15" x14ac:dyDescent="0.35">
      <c r="A175" s="6" t="s">
        <v>550</v>
      </c>
      <c r="B175" s="6" t="s">
        <v>14</v>
      </c>
      <c r="C175" s="6" t="s">
        <v>23</v>
      </c>
      <c r="D175" s="7">
        <v>46221.6015625</v>
      </c>
      <c r="E175" s="6" t="s">
        <v>618</v>
      </c>
      <c r="F175" s="6" t="s">
        <v>40</v>
      </c>
      <c r="G175" s="6" t="s">
        <v>41</v>
      </c>
      <c r="H175" s="6" t="s">
        <v>551</v>
      </c>
      <c r="I175" s="7">
        <v>46230.208483796298</v>
      </c>
      <c r="J175" s="7">
        <v>46223.172893518517</v>
      </c>
      <c r="K175" s="6" t="s">
        <v>41</v>
      </c>
      <c r="L175" s="6" t="s">
        <v>186</v>
      </c>
      <c r="M175" s="6" t="s">
        <v>552</v>
      </c>
      <c r="N175" s="7">
        <v>46230.208483796298</v>
      </c>
      <c r="O175" s="12">
        <f>INT(Table1[[#This Row],[sys_created_on]])</f>
        <v>46221</v>
      </c>
    </row>
    <row r="176" spans="1:15" x14ac:dyDescent="0.35">
      <c r="A176" s="6" t="s">
        <v>553</v>
      </c>
      <c r="B176" s="6" t="s">
        <v>14</v>
      </c>
      <c r="C176" s="6" t="s">
        <v>23</v>
      </c>
      <c r="D176" s="7">
        <v>46221.601597222223</v>
      </c>
      <c r="E176" s="6" t="s">
        <v>618</v>
      </c>
      <c r="F176" s="6" t="s">
        <v>40</v>
      </c>
      <c r="G176" s="6" t="s">
        <v>41</v>
      </c>
      <c r="H176" s="6" t="s">
        <v>554</v>
      </c>
      <c r="I176" s="7">
        <v>46230.208587962959</v>
      </c>
      <c r="J176" s="7">
        <v>46223.17386574074</v>
      </c>
      <c r="K176" s="6" t="s">
        <v>41</v>
      </c>
      <c r="L176" s="6" t="s">
        <v>186</v>
      </c>
      <c r="M176" s="6" t="s">
        <v>555</v>
      </c>
      <c r="N176" s="7">
        <v>46230.208587962959</v>
      </c>
      <c r="O176" s="12">
        <f>INT(Table1[[#This Row],[sys_created_on]])</f>
        <v>46221</v>
      </c>
    </row>
    <row r="177" spans="1:15" x14ac:dyDescent="0.35">
      <c r="A177" s="6" t="s">
        <v>556</v>
      </c>
      <c r="B177" s="6" t="s">
        <v>14</v>
      </c>
      <c r="C177" s="6" t="s">
        <v>55</v>
      </c>
      <c r="D177" s="7">
        <v>46222.342592592591</v>
      </c>
      <c r="E177" s="6" t="s">
        <v>609</v>
      </c>
      <c r="F177" s="6" t="s">
        <v>40</v>
      </c>
      <c r="G177" s="6" t="s">
        <v>530</v>
      </c>
      <c r="H177" s="6" t="s">
        <v>332</v>
      </c>
      <c r="I177" s="7">
        <v>46229.375115740739</v>
      </c>
      <c r="J177" s="7">
        <v>46222.346412037034</v>
      </c>
      <c r="K177" s="6" t="s">
        <v>58</v>
      </c>
      <c r="L177" s="6" t="s">
        <v>43</v>
      </c>
      <c r="M177" s="6" t="s">
        <v>557</v>
      </c>
      <c r="N177" s="7">
        <v>46229.375115740739</v>
      </c>
      <c r="O177" s="12">
        <f>INT(Table1[[#This Row],[sys_created_on]])</f>
        <v>46222</v>
      </c>
    </row>
    <row r="178" spans="1:15" x14ac:dyDescent="0.35">
      <c r="A178" s="6" t="s">
        <v>558</v>
      </c>
      <c r="B178" s="6" t="s">
        <v>14</v>
      </c>
      <c r="C178" s="6" t="s">
        <v>55</v>
      </c>
      <c r="D178" s="7">
        <v>46222.343321759261</v>
      </c>
      <c r="E178" s="6" t="s">
        <v>612</v>
      </c>
      <c r="F178" s="6" t="s">
        <v>40</v>
      </c>
      <c r="G178" s="6" t="s">
        <v>131</v>
      </c>
      <c r="H178" s="6" t="s">
        <v>61</v>
      </c>
      <c r="I178" s="7">
        <v>46229.375069444446</v>
      </c>
      <c r="J178" s="7">
        <v>46222.346458333333</v>
      </c>
      <c r="K178" s="6" t="s">
        <v>58</v>
      </c>
      <c r="L178" s="6" t="s">
        <v>43</v>
      </c>
      <c r="M178" s="6" t="s">
        <v>559</v>
      </c>
      <c r="N178" s="7">
        <v>46229.375069444446</v>
      </c>
      <c r="O178" s="12">
        <f>INT(Table1[[#This Row],[sys_created_on]])</f>
        <v>46222</v>
      </c>
    </row>
    <row r="179" spans="1:15" x14ac:dyDescent="0.35">
      <c r="A179" s="6" t="s">
        <v>560</v>
      </c>
      <c r="B179" s="6" t="s">
        <v>14</v>
      </c>
      <c r="C179" s="6" t="s">
        <v>55</v>
      </c>
      <c r="D179" s="7">
        <v>46222.344212962962</v>
      </c>
      <c r="E179" s="6" t="s">
        <v>614</v>
      </c>
      <c r="F179" s="6" t="s">
        <v>40</v>
      </c>
      <c r="G179" s="6" t="s">
        <v>131</v>
      </c>
      <c r="H179" s="6" t="s">
        <v>68</v>
      </c>
      <c r="I179" s="7">
        <v>46229.375115740739</v>
      </c>
      <c r="J179" s="7">
        <v>46222.345613425925</v>
      </c>
      <c r="K179" s="6" t="s">
        <v>58</v>
      </c>
      <c r="L179" s="6" t="s">
        <v>43</v>
      </c>
      <c r="M179" s="6" t="s">
        <v>561</v>
      </c>
      <c r="N179" s="7">
        <v>46229.375115740739</v>
      </c>
      <c r="O179" s="12">
        <f>INT(Table1[[#This Row],[sys_created_on]])</f>
        <v>46222</v>
      </c>
    </row>
    <row r="180" spans="1:15" x14ac:dyDescent="0.35">
      <c r="A180" s="6" t="s">
        <v>562</v>
      </c>
      <c r="B180" s="6" t="s">
        <v>14</v>
      </c>
      <c r="C180" s="6" t="s">
        <v>55</v>
      </c>
      <c r="D180" s="7">
        <v>46223.375636574077</v>
      </c>
      <c r="E180" s="6" t="s">
        <v>613</v>
      </c>
      <c r="F180" s="6" t="s">
        <v>40</v>
      </c>
      <c r="G180" s="6" t="s">
        <v>214</v>
      </c>
      <c r="H180" s="6" t="s">
        <v>65</v>
      </c>
      <c r="I180" s="7">
        <v>46230.417025462964</v>
      </c>
      <c r="J180" s="7">
        <v>46223.378946759258</v>
      </c>
      <c r="K180" s="6"/>
      <c r="L180" s="6" t="s">
        <v>43</v>
      </c>
      <c r="M180" s="6" t="s">
        <v>563</v>
      </c>
      <c r="N180" s="7">
        <v>46230.417025462964</v>
      </c>
      <c r="O180" s="12">
        <f>INT(Table1[[#This Row],[sys_created_on]])</f>
        <v>46223</v>
      </c>
    </row>
    <row r="181" spans="1:15" x14ac:dyDescent="0.35">
      <c r="A181" s="6" t="s">
        <v>564</v>
      </c>
      <c r="B181" s="6" t="s">
        <v>14</v>
      </c>
      <c r="C181" s="6" t="s">
        <v>15</v>
      </c>
      <c r="D181" s="7">
        <v>46224.520289351851</v>
      </c>
      <c r="E181" s="6" t="s">
        <v>618</v>
      </c>
      <c r="F181" s="6" t="s">
        <v>40</v>
      </c>
      <c r="G181" s="6" t="s">
        <v>131</v>
      </c>
      <c r="H181" s="6" t="s">
        <v>565</v>
      </c>
      <c r="I181" s="7">
        <v>46232.375937500001</v>
      </c>
      <c r="J181" s="7">
        <v>46225.357743055552</v>
      </c>
      <c r="K181" s="6" t="s">
        <v>131</v>
      </c>
      <c r="L181" s="6" t="s">
        <v>20</v>
      </c>
      <c r="M181" s="6" t="s">
        <v>566</v>
      </c>
      <c r="N181" s="7">
        <v>46232.375925925924</v>
      </c>
      <c r="O181" s="12">
        <f>INT(Table1[[#This Row],[sys_created_on]])</f>
        <v>46224</v>
      </c>
    </row>
    <row r="182" spans="1:15" x14ac:dyDescent="0.35">
      <c r="A182" s="6" t="s">
        <v>567</v>
      </c>
      <c r="B182" s="6" t="s">
        <v>14</v>
      </c>
      <c r="C182" s="6" t="s">
        <v>15</v>
      </c>
      <c r="D182" s="7">
        <v>46225.41814814815</v>
      </c>
      <c r="E182" s="6" t="s">
        <v>618</v>
      </c>
      <c r="F182" s="6" t="s">
        <v>40</v>
      </c>
      <c r="G182" s="6" t="s">
        <v>214</v>
      </c>
      <c r="H182" s="6" t="s">
        <v>568</v>
      </c>
      <c r="I182" s="7">
        <v>46232.500509259262</v>
      </c>
      <c r="J182" s="7">
        <v>46225.492152777777</v>
      </c>
      <c r="K182" s="6" t="s">
        <v>214</v>
      </c>
      <c r="L182" s="6" t="s">
        <v>20</v>
      </c>
      <c r="M182" s="6" t="s">
        <v>569</v>
      </c>
      <c r="N182" s="7">
        <v>46232.500497685185</v>
      </c>
      <c r="O182" s="12">
        <f>INT(Table1[[#This Row],[sys_created_on]])</f>
        <v>46225</v>
      </c>
    </row>
    <row r="183" spans="1:15" x14ac:dyDescent="0.35">
      <c r="A183" s="6" t="s">
        <v>570</v>
      </c>
      <c r="B183" s="6" t="s">
        <v>14</v>
      </c>
      <c r="C183" s="6" t="s">
        <v>23</v>
      </c>
      <c r="D183" s="7">
        <v>46225.619027777779</v>
      </c>
      <c r="E183" s="6" t="s">
        <v>632</v>
      </c>
      <c r="F183" s="6" t="s">
        <v>16</v>
      </c>
      <c r="G183" s="6" t="s">
        <v>75</v>
      </c>
      <c r="H183" s="6" t="s">
        <v>571</v>
      </c>
      <c r="I183" s="7">
        <v>46232.708993055552</v>
      </c>
      <c r="J183" s="7">
        <v>46225.682824074072</v>
      </c>
      <c r="K183" s="6" t="s">
        <v>75</v>
      </c>
      <c r="L183" s="6" t="s">
        <v>572</v>
      </c>
      <c r="M183" s="6" t="s">
        <v>573</v>
      </c>
      <c r="N183" s="7">
        <v>46232.708993055552</v>
      </c>
      <c r="O183" s="12">
        <f>INT(Table1[[#This Row],[sys_created_on]])</f>
        <v>46225</v>
      </c>
    </row>
    <row r="184" spans="1:15" x14ac:dyDescent="0.35">
      <c r="A184" s="6" t="s">
        <v>574</v>
      </c>
      <c r="B184" s="6" t="s">
        <v>575</v>
      </c>
      <c r="C184" s="6" t="s">
        <v>23</v>
      </c>
      <c r="D184" s="7">
        <v>46226.544189814813</v>
      </c>
      <c r="E184" s="6" t="s">
        <v>610</v>
      </c>
      <c r="F184" s="6" t="s">
        <v>49</v>
      </c>
      <c r="G184" s="6" t="s">
        <v>135</v>
      </c>
      <c r="H184" s="6" t="s">
        <v>576</v>
      </c>
      <c r="I184" s="7">
        <v>46227.494351851848</v>
      </c>
      <c r="J184" s="7">
        <v>46227.494351851848</v>
      </c>
      <c r="K184" s="6" t="s">
        <v>135</v>
      </c>
      <c r="L184" s="6" t="s">
        <v>577</v>
      </c>
      <c r="M184" s="6" t="s">
        <v>578</v>
      </c>
      <c r="N184" s="6"/>
      <c r="O184" s="12">
        <f>INT(Table1[[#This Row],[sys_created_on]])</f>
        <v>46226</v>
      </c>
    </row>
    <row r="185" spans="1:15" x14ac:dyDescent="0.35">
      <c r="A185" s="6" t="s">
        <v>579</v>
      </c>
      <c r="B185" s="6" t="s">
        <v>575</v>
      </c>
      <c r="C185" s="6" t="s">
        <v>55</v>
      </c>
      <c r="D185" s="7">
        <v>46228.054664351854</v>
      </c>
      <c r="E185" s="6" t="s">
        <v>631</v>
      </c>
      <c r="F185" s="6" t="s">
        <v>16</v>
      </c>
      <c r="G185" s="6" t="s">
        <v>580</v>
      </c>
      <c r="H185" s="6" t="s">
        <v>545</v>
      </c>
      <c r="I185" s="7">
        <v>46228.067858796298</v>
      </c>
      <c r="J185" s="7">
        <v>46228.067858796298</v>
      </c>
      <c r="K185" s="6" t="s">
        <v>580</v>
      </c>
      <c r="L185" s="6" t="s">
        <v>52</v>
      </c>
      <c r="M185" s="6" t="s">
        <v>581</v>
      </c>
      <c r="N185" s="6"/>
      <c r="O185" s="12">
        <f>INT(Table1[[#This Row],[sys_created_on]])</f>
        <v>46228</v>
      </c>
    </row>
    <row r="186" spans="1:15" x14ac:dyDescent="0.35">
      <c r="A186" s="6" t="s">
        <v>582</v>
      </c>
      <c r="B186" s="6" t="s">
        <v>575</v>
      </c>
      <c r="C186" s="6" t="s">
        <v>55</v>
      </c>
      <c r="D186" s="7">
        <v>46229.301481481481</v>
      </c>
      <c r="E186" s="6" t="s">
        <v>627</v>
      </c>
      <c r="F186" s="6" t="s">
        <v>40</v>
      </c>
      <c r="G186" s="6" t="s">
        <v>530</v>
      </c>
      <c r="H186" s="6" t="s">
        <v>362</v>
      </c>
      <c r="I186" s="7">
        <v>46229.431898148148</v>
      </c>
      <c r="J186" s="7">
        <v>46229.42765046296</v>
      </c>
      <c r="K186" s="6" t="s">
        <v>58</v>
      </c>
      <c r="L186" s="6" t="s">
        <v>43</v>
      </c>
      <c r="M186" s="6" t="s">
        <v>583</v>
      </c>
      <c r="N186" s="6"/>
      <c r="O186" s="12">
        <f>INT(Table1[[#This Row],[sys_created_on]])</f>
        <v>46229</v>
      </c>
    </row>
    <row r="187" spans="1:15" x14ac:dyDescent="0.35">
      <c r="A187" s="6" t="s">
        <v>584</v>
      </c>
      <c r="B187" s="6" t="s">
        <v>575</v>
      </c>
      <c r="C187" s="6" t="s">
        <v>55</v>
      </c>
      <c r="D187" s="7">
        <v>46229.309490740743</v>
      </c>
      <c r="E187" s="6" t="s">
        <v>633</v>
      </c>
      <c r="F187" s="6" t="s">
        <v>40</v>
      </c>
      <c r="G187" s="6" t="s">
        <v>530</v>
      </c>
      <c r="H187" s="6" t="s">
        <v>585</v>
      </c>
      <c r="I187" s="7">
        <v>46229.314513888887</v>
      </c>
      <c r="J187" s="7">
        <v>46229.312303240738</v>
      </c>
      <c r="K187" s="6" t="s">
        <v>58</v>
      </c>
      <c r="L187" s="6" t="s">
        <v>43</v>
      </c>
      <c r="M187" s="6" t="s">
        <v>586</v>
      </c>
      <c r="N187" s="6"/>
      <c r="O187" s="12">
        <f>INT(Table1[[#This Row],[sys_created_on]])</f>
        <v>46229</v>
      </c>
    </row>
    <row r="188" spans="1:15" x14ac:dyDescent="0.35">
      <c r="A188" s="6" t="s">
        <v>587</v>
      </c>
      <c r="B188" s="6" t="s">
        <v>575</v>
      </c>
      <c r="C188" s="6" t="s">
        <v>55</v>
      </c>
      <c r="D188" s="7">
        <v>46230.418587962966</v>
      </c>
      <c r="E188" s="6" t="s">
        <v>626</v>
      </c>
      <c r="F188" s="6" t="s">
        <v>16</v>
      </c>
      <c r="G188" s="6" t="s">
        <v>97</v>
      </c>
      <c r="H188" s="6" t="s">
        <v>588</v>
      </c>
      <c r="I188" s="7">
        <v>46230.420127314814</v>
      </c>
      <c r="J188" s="7">
        <v>46230.418738425928</v>
      </c>
      <c r="K188" s="6" t="s">
        <v>58</v>
      </c>
      <c r="L188" s="6" t="s">
        <v>43</v>
      </c>
      <c r="M188" s="6" t="s">
        <v>589</v>
      </c>
      <c r="N188" s="6"/>
      <c r="O188" s="12">
        <f>INT(Table1[[#This Row],[sys_created_on]])</f>
        <v>46230</v>
      </c>
    </row>
    <row r="189" spans="1:15" x14ac:dyDescent="0.35">
      <c r="A189" s="6" t="s">
        <v>590</v>
      </c>
      <c r="B189" s="6" t="s">
        <v>575</v>
      </c>
      <c r="C189" s="6" t="s">
        <v>55</v>
      </c>
      <c r="D189" s="7">
        <v>46230.440578703703</v>
      </c>
      <c r="E189" s="6" t="s">
        <v>626</v>
      </c>
      <c r="F189" s="6" t="s">
        <v>16</v>
      </c>
      <c r="G189" s="6" t="s">
        <v>17</v>
      </c>
      <c r="H189" s="6" t="s">
        <v>588</v>
      </c>
      <c r="I189" s="7">
        <v>46230.448344907411</v>
      </c>
      <c r="J189" s="7">
        <v>46230.448344907411</v>
      </c>
      <c r="K189" s="6"/>
      <c r="L189" s="6" t="s">
        <v>43</v>
      </c>
      <c r="M189" s="6" t="s">
        <v>591</v>
      </c>
      <c r="N189" s="6"/>
      <c r="O189" s="12">
        <f>INT(Table1[[#This Row],[sys_created_on]])</f>
        <v>46230</v>
      </c>
    </row>
    <row r="190" spans="1:15" x14ac:dyDescent="0.35">
      <c r="A190" s="6" t="s">
        <v>592</v>
      </c>
      <c r="B190" s="6" t="s">
        <v>575</v>
      </c>
      <c r="C190" s="6" t="s">
        <v>55</v>
      </c>
      <c r="D190" s="7">
        <v>46230.463530092595</v>
      </c>
      <c r="E190" s="6" t="s">
        <v>626</v>
      </c>
      <c r="F190" s="6" t="s">
        <v>16</v>
      </c>
      <c r="G190" s="6" t="s">
        <v>97</v>
      </c>
      <c r="H190" s="6" t="s">
        <v>588</v>
      </c>
      <c r="I190" s="7">
        <v>46230.465844907405</v>
      </c>
      <c r="J190" s="7">
        <v>46230.465844907405</v>
      </c>
      <c r="K190" s="6"/>
      <c r="L190" s="6" t="s">
        <v>43</v>
      </c>
      <c r="M190" s="6" t="s">
        <v>593</v>
      </c>
      <c r="N190" s="6"/>
      <c r="O190" s="12">
        <f>INT(Table1[[#This Row],[sys_created_on]])</f>
        <v>46230</v>
      </c>
    </row>
    <row r="191" spans="1:15" x14ac:dyDescent="0.35">
      <c r="A191" s="6" t="s">
        <v>594</v>
      </c>
      <c r="B191" s="6" t="s">
        <v>575</v>
      </c>
      <c r="C191" s="6" t="s">
        <v>55</v>
      </c>
      <c r="D191" s="7">
        <v>46230.477222222224</v>
      </c>
      <c r="E191" s="6" t="s">
        <v>626</v>
      </c>
      <c r="F191" s="6" t="s">
        <v>16</v>
      </c>
      <c r="G191" s="6" t="s">
        <v>97</v>
      </c>
      <c r="H191" s="6" t="s">
        <v>588</v>
      </c>
      <c r="I191" s="7">
        <v>46230.61378472222</v>
      </c>
      <c r="J191" s="7">
        <v>46230.61378472222</v>
      </c>
      <c r="K191" s="6"/>
      <c r="L191" s="6" t="s">
        <v>43</v>
      </c>
      <c r="M191" s="6" t="s">
        <v>595</v>
      </c>
      <c r="N191" s="6"/>
      <c r="O191" s="12">
        <f>INT(Table1[[#This Row],[sys_created_on]])</f>
        <v>46230</v>
      </c>
    </row>
    <row r="192" spans="1:15" x14ac:dyDescent="0.35">
      <c r="A192" s="6" t="s">
        <v>596</v>
      </c>
      <c r="B192" s="6" t="s">
        <v>575</v>
      </c>
      <c r="C192" s="6" t="s">
        <v>55</v>
      </c>
      <c r="D192" s="7">
        <v>46230.525335648148</v>
      </c>
      <c r="E192" s="6" t="s">
        <v>634</v>
      </c>
      <c r="F192" s="6" t="s">
        <v>16</v>
      </c>
      <c r="G192" s="6" t="s">
        <v>17</v>
      </c>
      <c r="H192" s="6" t="s">
        <v>597</v>
      </c>
      <c r="I192" s="7">
        <v>46230.596574074072</v>
      </c>
      <c r="J192" s="7">
        <v>46230.596574074072</v>
      </c>
      <c r="K192" s="6"/>
      <c r="L192" s="6" t="s">
        <v>43</v>
      </c>
      <c r="M192" s="6" t="s">
        <v>598</v>
      </c>
      <c r="N192" s="6"/>
      <c r="O192" s="13">
        <f>INT(Table1[[#This Row],[sys_created_on]])</f>
        <v>46230</v>
      </c>
    </row>
  </sheetData>
  <pageMargins left="0.7" right="0.7" top="0.75" bottom="0.75" header="0.3" footer="0.3"/>
  <headerFooter>
    <oddHeader>&amp;L&amp;"Aptos"&amp;10&amp;K008000 Classification: Internal&amp;1#_x000D_</oddHead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D5D3F-B2E3-4AA9-BEF1-C91F86BE43C1}">
  <dimension ref="A1:B6"/>
  <sheetViews>
    <sheetView workbookViewId="0">
      <selection activeCell="B14" sqref="B14"/>
    </sheetView>
  </sheetViews>
  <sheetFormatPr defaultRowHeight="14.5" x14ac:dyDescent="0.35"/>
  <cols>
    <col min="1" max="1" width="27.453125" bestFit="1" customWidth="1"/>
    <col min="2" max="2" width="22" bestFit="1" customWidth="1"/>
  </cols>
  <sheetData>
    <row r="1" spans="1:2" x14ac:dyDescent="0.35">
      <c r="A1" s="2" t="s">
        <v>599</v>
      </c>
      <c r="B1" s="4" t="s">
        <v>600</v>
      </c>
    </row>
    <row r="2" spans="1:2" x14ac:dyDescent="0.35">
      <c r="A2" s="5" t="s">
        <v>601</v>
      </c>
      <c r="B2" s="8" t="s">
        <v>16</v>
      </c>
    </row>
    <row r="3" spans="1:2" x14ac:dyDescent="0.35">
      <c r="A3" s="5" t="s">
        <v>602</v>
      </c>
      <c r="B3" s="8" t="s">
        <v>40</v>
      </c>
    </row>
    <row r="4" spans="1:2" x14ac:dyDescent="0.35">
      <c r="A4" s="5" t="s">
        <v>603</v>
      </c>
      <c r="B4" s="8" t="s">
        <v>604</v>
      </c>
    </row>
    <row r="5" spans="1:2" x14ac:dyDescent="0.35">
      <c r="A5" s="5" t="s">
        <v>49</v>
      </c>
      <c r="B5" s="8" t="s">
        <v>49</v>
      </c>
    </row>
    <row r="6" spans="1:2" x14ac:dyDescent="0.35">
      <c r="A6" s="9" t="s">
        <v>16</v>
      </c>
      <c r="B6" s="10" t="s">
        <v>16</v>
      </c>
    </row>
  </sheetData>
  <pageMargins left="0.7" right="0.7" top="0.75" bottom="0.75" header="0.3" footer="0.3"/>
  <headerFooter>
    <oddHeader>&amp;L&amp;"Aptos"&amp;10&amp;K008000 Classification: Internal&amp;1#_x000D_</oddHeader>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e410b57-4e18-499d-a73b-778ad125d0c6" xsi:nil="true"/>
    <lcf76f155ced4ddcb4097134ff3c332f xmlns="37fbe88d-8fc0-4a52-9626-889165a52fb1">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97C9993E493C54FB747D90DDEFE1997" ma:contentTypeVersion="13" ma:contentTypeDescription="Create a new document." ma:contentTypeScope="" ma:versionID="ea45667f3a90d5214876ab4d5d41ac99">
  <xsd:schema xmlns:xsd="http://www.w3.org/2001/XMLSchema" xmlns:xs="http://www.w3.org/2001/XMLSchema" xmlns:p="http://schemas.microsoft.com/office/2006/metadata/properties" xmlns:ns2="37fbe88d-8fc0-4a52-9626-889165a52fb1" xmlns:ns3="79ca50c8-2d37-43a7-b938-7e67571ddefb" xmlns:ns4="6e410b57-4e18-499d-a73b-778ad125d0c6" targetNamespace="http://schemas.microsoft.com/office/2006/metadata/properties" ma:root="true" ma:fieldsID="27cb67234e1bb30a717787e9ec3d5943" ns2:_="" ns3:_="" ns4:_="">
    <xsd:import namespace="37fbe88d-8fc0-4a52-9626-889165a52fb1"/>
    <xsd:import namespace="79ca50c8-2d37-43a7-b938-7e67571ddefb"/>
    <xsd:import namespace="6e410b57-4e18-499d-a73b-778ad125d0c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lcf76f155ced4ddcb4097134ff3c332f" minOccurs="0"/>
                <xsd:element ref="ns4: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fbe88d-8fc0-4a52-9626-889165a52f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6b31ed30-7e58-4985-b8c2-d455a920e24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9ca50c8-2d37-43a7-b938-7e67571ddef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e410b57-4e18-499d-a73b-778ad125d0c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01eaca1-0807-4eac-8b4d-3d7b48998fa7}" ma:internalName="TaxCatchAll" ma:showField="CatchAllData" ma:web="79ca50c8-2d37-43a7-b938-7e67571ddef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B0A8B91-21EC-484F-9167-F80356A7C1D6}">
  <ds:schemaRefs>
    <ds:schemaRef ds:uri="http://schemas.microsoft.com/office/2006/metadata/properties"/>
    <ds:schemaRef ds:uri="http://schemas.microsoft.com/office/infopath/2007/PartnerControls"/>
    <ds:schemaRef ds:uri="6e410b57-4e18-499d-a73b-778ad125d0c6"/>
    <ds:schemaRef ds:uri="37fbe88d-8fc0-4a52-9626-889165a52fb1"/>
  </ds:schemaRefs>
</ds:datastoreItem>
</file>

<file path=customXml/itemProps2.xml><?xml version="1.0" encoding="utf-8"?>
<ds:datastoreItem xmlns:ds="http://schemas.openxmlformats.org/officeDocument/2006/customXml" ds:itemID="{B48DB829-A7FF-4DB4-B700-5DE714F8EC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7fbe88d-8fc0-4a52-9626-889165a52fb1"/>
    <ds:schemaRef ds:uri="79ca50c8-2d37-43a7-b938-7e67571ddefb"/>
    <ds:schemaRef ds:uri="6e410b57-4e18-499d-a73b-778ad125d0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11A94FB-A298-41F8-9C8D-562E424E393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incident - 2026-07-30T170504.31</vt:lpstr>
      <vt:lpstr>Group Names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Karthik Krishnan</dc:creator>
  <cp:lastModifiedBy>Kuldeep Ashok</cp:lastModifiedBy>
  <dcterms:created xsi:type="dcterms:W3CDTF">2026-07-30T11:37:01Z</dcterms:created>
  <dcterms:modified xsi:type="dcterms:W3CDTF">2026-08-07T13:24:09Z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56dfe78-8a37-4fb5-b4aa-b92b97e18d15_Enabled">
    <vt:lpwstr>true</vt:lpwstr>
  </property>
  <property fmtid="{D5CDD505-2E9C-101B-9397-08002B2CF9AE}" pid="3" name="MSIP_Label_556dfe78-8a37-4fb5-b4aa-b92b97e18d15_SetDate">
    <vt:lpwstr>2026-07-30T11:37:52Z</vt:lpwstr>
  </property>
  <property fmtid="{D5CDD505-2E9C-101B-9397-08002B2CF9AE}" pid="4" name="MSIP_Label_556dfe78-8a37-4fb5-b4aa-b92b97e18d15_Method">
    <vt:lpwstr>Standard</vt:lpwstr>
  </property>
  <property fmtid="{D5CDD505-2E9C-101B-9397-08002B2CF9AE}" pid="5" name="MSIP_Label_556dfe78-8a37-4fb5-b4aa-b92b97e18d15_Name">
    <vt:lpwstr>Internal</vt:lpwstr>
  </property>
  <property fmtid="{D5CDD505-2E9C-101B-9397-08002B2CF9AE}" pid="6" name="MSIP_Label_556dfe78-8a37-4fb5-b4aa-b92b97e18d15_SiteId">
    <vt:lpwstr>189de737-c93a-4f5a-8b68-6f4ca9941912</vt:lpwstr>
  </property>
  <property fmtid="{D5CDD505-2E9C-101B-9397-08002B2CF9AE}" pid="7" name="MSIP_Label_556dfe78-8a37-4fb5-b4aa-b92b97e18d15_ActionId">
    <vt:lpwstr>226180a3-46d5-4f4c-a579-02c11ed878e4</vt:lpwstr>
  </property>
  <property fmtid="{D5CDD505-2E9C-101B-9397-08002B2CF9AE}" pid="8" name="MSIP_Label_556dfe78-8a37-4fb5-b4aa-b92b97e18d15_ContentBits">
    <vt:lpwstr>1</vt:lpwstr>
  </property>
  <property fmtid="{D5CDD505-2E9C-101B-9397-08002B2CF9AE}" pid="9" name="MSIP_Label_556dfe78-8a37-4fb5-b4aa-b92b97e18d15_Tag">
    <vt:lpwstr>10, 3, 0, 1</vt:lpwstr>
  </property>
  <property fmtid="{D5CDD505-2E9C-101B-9397-08002B2CF9AE}" pid="10" name="ContentTypeId">
    <vt:lpwstr>0x010100997C9993E493C54FB747D90DDEFE1997</vt:lpwstr>
  </property>
  <property fmtid="{D5CDD505-2E9C-101B-9397-08002B2CF9AE}" pid="11" name="TitusGUID">
    <vt:lpwstr>fecb0251-ebc1-4b27-8cc7-4652ab517d87</vt:lpwstr>
  </property>
  <property fmtid="{D5CDD505-2E9C-101B-9397-08002B2CF9AE}" pid="12" name="HCLClassD6">
    <vt:lpwstr>False</vt:lpwstr>
  </property>
  <property fmtid="{D5CDD505-2E9C-101B-9397-08002B2CF9AE}" pid="13" name="HCLClassification">
    <vt:lpwstr>HCL_Cla5s_C0nf1dent1al</vt:lpwstr>
  </property>
</Properties>
</file>